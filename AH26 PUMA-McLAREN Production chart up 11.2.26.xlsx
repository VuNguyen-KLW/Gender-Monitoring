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5. PUMA\2. AH26\1. PRODUCTION CHART\2. CẬP NHẬT NGÀY 29.1.25\"/>
    </mc:Choice>
  </mc:AlternateContent>
  <bookViews>
    <workbookView xWindow="0" yWindow="0" windowWidth="28800" windowHeight="12330" tabRatio="937" activeTab="4"/>
  </bookViews>
  <sheets>
    <sheet name="714046" sheetId="186" r:id="rId1"/>
    <sheet name="713955" sheetId="185" r:id="rId2"/>
    <sheet name="713954" sheetId="184" r:id="rId3"/>
    <sheet name="713953" sheetId="179" r:id="rId4"/>
    <sheet name="713952" sheetId="175" r:id="rId5"/>
    <sheet name="713951" sheetId="181" r:id="rId6"/>
    <sheet name="713948" sheetId="176" r:id="rId7"/>
  </sheets>
  <definedNames>
    <definedName name="_xlnm._FilterDatabase" localSheetId="6" hidden="1">'713948'!$A$6:$AH$18</definedName>
    <definedName name="_xlnm._FilterDatabase" localSheetId="5" hidden="1">'713951'!$A$6:$AD$55</definedName>
    <definedName name="_xlnm._FilterDatabase" localSheetId="4" hidden="1">'713952'!$A$6:$AD$56</definedName>
    <definedName name="_xlnm._FilterDatabase" localSheetId="3" hidden="1">'713953'!$A$6:$AD$55</definedName>
    <definedName name="_xlnm._FilterDatabase" localSheetId="2" hidden="1">'713954'!$A$6:$AG$6</definedName>
    <definedName name="_xlnm._FilterDatabase" localSheetId="1" hidden="1">'713955'!$A$6:$AB$16</definedName>
    <definedName name="_xlnm._FilterDatabase" localSheetId="0" hidden="1">'714046'!$A$6:$AC$6</definedName>
    <definedName name="_xlnm.Print_Area" localSheetId="6">'713948'!$A$1:$AC$22</definedName>
    <definedName name="_xlnm.Print_Area" localSheetId="5">'713951'!$A$1:$AG$56</definedName>
    <definedName name="_xlnm.Print_Area" localSheetId="4">'713952'!$A$1:$AI$58</definedName>
  </definedNames>
  <calcPr calcId="162913"/>
</workbook>
</file>

<file path=xl/calcChain.xml><?xml version="1.0" encoding="utf-8"?>
<calcChain xmlns="http://schemas.openxmlformats.org/spreadsheetml/2006/main">
  <c r="P20" i="184" l="1"/>
  <c r="P54" i="181" l="1"/>
  <c r="P45" i="181"/>
  <c r="P46" i="181"/>
  <c r="P47" i="181"/>
  <c r="P48" i="181"/>
  <c r="P49" i="181"/>
  <c r="P50" i="181"/>
  <c r="P51" i="181"/>
  <c r="P52" i="181"/>
  <c r="P53" i="181"/>
  <c r="P44" i="181"/>
  <c r="P7" i="181"/>
  <c r="P22" i="176" l="1"/>
  <c r="P8" i="179" l="1"/>
  <c r="P9" i="179"/>
  <c r="P10" i="179"/>
  <c r="P11" i="179"/>
  <c r="P12" i="179"/>
  <c r="P13" i="179"/>
  <c r="P14" i="179"/>
  <c r="P15" i="179"/>
  <c r="P16" i="179"/>
  <c r="P17" i="179"/>
  <c r="P18" i="179"/>
  <c r="P19" i="179"/>
  <c r="P20" i="179"/>
  <c r="P21" i="179"/>
  <c r="P22" i="179"/>
  <c r="P23" i="179"/>
  <c r="P24" i="179"/>
  <c r="P25" i="179"/>
  <c r="P26" i="179"/>
  <c r="P27" i="179"/>
  <c r="P28" i="179"/>
  <c r="P29" i="179"/>
  <c r="P30" i="179"/>
  <c r="P31" i="179"/>
  <c r="P32" i="179"/>
  <c r="P33" i="179"/>
  <c r="P34" i="179"/>
  <c r="P35" i="179"/>
  <c r="P36" i="179"/>
  <c r="P37" i="179"/>
  <c r="P38" i="179"/>
  <c r="P39" i="179"/>
  <c r="P40" i="179"/>
  <c r="P41" i="179"/>
  <c r="P42" i="179"/>
  <c r="P43" i="179"/>
  <c r="P44" i="179"/>
  <c r="P45" i="179"/>
  <c r="P46" i="179"/>
  <c r="P47" i="179"/>
  <c r="P7" i="179"/>
  <c r="P59" i="179" l="1"/>
  <c r="P8" i="176"/>
  <c r="P9" i="176"/>
  <c r="P10" i="176"/>
  <c r="P11" i="176"/>
  <c r="P12" i="176"/>
  <c r="P13" i="176"/>
  <c r="P14" i="176"/>
  <c r="P15" i="176"/>
  <c r="P16" i="176"/>
  <c r="P17" i="176"/>
  <c r="P18" i="176"/>
  <c r="P19" i="176"/>
  <c r="P20" i="176"/>
  <c r="P7" i="176"/>
  <c r="P8" i="181"/>
  <c r="P9" i="181"/>
  <c r="P10" i="181"/>
  <c r="P11" i="181"/>
  <c r="P12" i="181"/>
  <c r="P13" i="181"/>
  <c r="P14" i="181"/>
  <c r="P15" i="181"/>
  <c r="P16" i="181"/>
  <c r="P17" i="181"/>
  <c r="P18" i="181"/>
  <c r="P19" i="181"/>
  <c r="P20" i="181"/>
  <c r="P21" i="181"/>
  <c r="P22" i="181"/>
  <c r="P23" i="181"/>
  <c r="P24" i="181"/>
  <c r="P25" i="181"/>
  <c r="P26" i="181"/>
  <c r="P27" i="181"/>
  <c r="P28" i="181"/>
  <c r="P29" i="181"/>
  <c r="P30" i="181"/>
  <c r="P31" i="181"/>
  <c r="P32" i="181"/>
  <c r="P33" i="181"/>
  <c r="P34" i="181"/>
  <c r="P35" i="181"/>
  <c r="P36" i="181"/>
  <c r="P37" i="181"/>
  <c r="P38" i="181"/>
  <c r="P39" i="181"/>
  <c r="P40" i="181"/>
  <c r="P41" i="181"/>
  <c r="P42" i="181"/>
  <c r="P43" i="181"/>
  <c r="P51" i="175"/>
  <c r="P8" i="175"/>
  <c r="P9" i="175"/>
  <c r="P10" i="175"/>
  <c r="P11" i="175"/>
  <c r="P12" i="175"/>
  <c r="P13" i="175"/>
  <c r="P14" i="175"/>
  <c r="P15" i="175"/>
  <c r="P16" i="175"/>
  <c r="P17" i="175"/>
  <c r="P18" i="175"/>
  <c r="P19" i="175"/>
  <c r="P20" i="175"/>
  <c r="P21" i="175"/>
  <c r="P22" i="175"/>
  <c r="P23" i="175"/>
  <c r="P24" i="175"/>
  <c r="P25" i="175"/>
  <c r="P26" i="175"/>
  <c r="P27" i="175"/>
  <c r="P28" i="175"/>
  <c r="P29" i="175"/>
  <c r="P30" i="175"/>
  <c r="P31" i="175"/>
  <c r="P32" i="175"/>
  <c r="P33" i="175"/>
  <c r="P34" i="175"/>
  <c r="P35" i="175"/>
  <c r="P36" i="175"/>
  <c r="P37" i="175"/>
  <c r="P38" i="175"/>
  <c r="P39" i="175"/>
  <c r="P40" i="175"/>
  <c r="P41" i="175"/>
  <c r="P42" i="175"/>
  <c r="P43" i="175"/>
  <c r="P44" i="175"/>
  <c r="P45" i="175"/>
  <c r="P46" i="175"/>
  <c r="P47" i="175"/>
  <c r="P48" i="175"/>
  <c r="P49" i="175"/>
  <c r="P50" i="175"/>
  <c r="P52" i="175"/>
  <c r="P53" i="175"/>
  <c r="P7" i="175"/>
  <c r="P58" i="175" s="1"/>
  <c r="P8" i="184"/>
  <c r="P9" i="184"/>
  <c r="P10" i="184"/>
  <c r="P11" i="184"/>
  <c r="P12" i="184"/>
  <c r="P13" i="184"/>
  <c r="P14" i="184"/>
  <c r="P15" i="184"/>
  <c r="P16" i="184"/>
  <c r="P17" i="184"/>
  <c r="P18" i="184"/>
  <c r="P19" i="184"/>
  <c r="P21" i="184"/>
  <c r="P22" i="184"/>
  <c r="P23" i="184"/>
  <c r="P24" i="184"/>
  <c r="P25" i="184"/>
  <c r="P26" i="184"/>
  <c r="P27" i="184"/>
  <c r="P28" i="184"/>
  <c r="P29" i="184"/>
  <c r="P30" i="184"/>
  <c r="P31" i="184"/>
  <c r="P32" i="184"/>
  <c r="P33" i="184"/>
  <c r="P34" i="184"/>
  <c r="P35" i="184"/>
  <c r="P36" i="184"/>
  <c r="P37" i="184"/>
  <c r="P38" i="184"/>
  <c r="P39" i="184"/>
  <c r="P40" i="184"/>
  <c r="P41" i="184"/>
  <c r="P42" i="184"/>
  <c r="P43" i="184"/>
  <c r="P44" i="184"/>
  <c r="P45" i="184"/>
  <c r="P46" i="184"/>
  <c r="P7" i="184"/>
  <c r="N7" i="185"/>
  <c r="N8" i="185"/>
  <c r="P7" i="186"/>
  <c r="P8" i="186"/>
  <c r="N18" i="185" l="1"/>
  <c r="P55" i="181"/>
  <c r="P52" i="184"/>
</calcChain>
</file>

<file path=xl/sharedStrings.xml><?xml version="1.0" encoding="utf-8"?>
<sst xmlns="http://schemas.openxmlformats.org/spreadsheetml/2006/main" count="3243" uniqueCount="448">
  <si>
    <t>Color code  
(色號)</t>
  </si>
  <si>
    <t>S</t>
  </si>
  <si>
    <t>M</t>
  </si>
  <si>
    <t>L</t>
  </si>
  <si>
    <t>XL</t>
  </si>
  <si>
    <t>XXL</t>
  </si>
  <si>
    <t>3XL</t>
  </si>
  <si>
    <t>Order Qty</t>
  </si>
  <si>
    <t xml:space="preserve">LCHD                            </t>
  </si>
  <si>
    <t>Ship Mode（走貨方式）</t>
  </si>
  <si>
    <t>Customer code</t>
  </si>
  <si>
    <t>Ultimate
 customer code</t>
  </si>
  <si>
    <t>Destination                       （目的地）</t>
  </si>
  <si>
    <t>印花对账</t>
    <phoneticPr fontId="5" type="noConversion"/>
  </si>
  <si>
    <t>美國</t>
  </si>
  <si>
    <t>United State</t>
  </si>
  <si>
    <t>McLaren</t>
  </si>
  <si>
    <t>墨西哥</t>
  </si>
  <si>
    <t>01</t>
  </si>
  <si>
    <t>Papaya</t>
  </si>
  <si>
    <t>MXRD2</t>
  </si>
  <si>
    <t>AM 墨西哥</t>
  </si>
  <si>
    <t>Mexico</t>
  </si>
  <si>
    <t>澳大利亞</t>
  </si>
  <si>
    <t>AUPUA</t>
  </si>
  <si>
    <t>AUECM</t>
  </si>
  <si>
    <t>AM 美洲</t>
  </si>
  <si>
    <t>Australia</t>
  </si>
  <si>
    <t>UYPUU</t>
  </si>
  <si>
    <t>乌克兰</t>
  </si>
  <si>
    <t>UAPUU</t>
  </si>
  <si>
    <t>EU 欧洲</t>
  </si>
  <si>
    <t>Ukraine</t>
  </si>
  <si>
    <t>USPUA</t>
  </si>
  <si>
    <t>USRTL</t>
  </si>
  <si>
    <t>AM 美国</t>
  </si>
  <si>
    <t>PNA 美国</t>
  </si>
  <si>
    <t>西班牙</t>
  </si>
  <si>
    <t>ESPUE</t>
  </si>
  <si>
    <t>Spain</t>
  </si>
  <si>
    <t>GBPUG</t>
  </si>
  <si>
    <t>印度</t>
  </si>
  <si>
    <t>INPMI</t>
  </si>
  <si>
    <t>INDIA 印度</t>
  </si>
  <si>
    <t>India</t>
  </si>
  <si>
    <t>德國</t>
  </si>
  <si>
    <t>DERET</t>
  </si>
  <si>
    <t>Germany</t>
  </si>
  <si>
    <t>AP 亚太</t>
  </si>
  <si>
    <t>阿聯酉</t>
  </si>
  <si>
    <t>AEMID</t>
  </si>
  <si>
    <t>United Arab Emirates</t>
  </si>
  <si>
    <t xml:space="preserve"> </t>
  </si>
  <si>
    <t>巴拉圭</t>
  </si>
  <si>
    <t>PYKEM</t>
  </si>
  <si>
    <t>Paraguay</t>
  </si>
  <si>
    <t>香港</t>
  </si>
  <si>
    <t>HKPUH</t>
  </si>
  <si>
    <t>Hong Kong</t>
  </si>
  <si>
    <t>南非</t>
  </si>
  <si>
    <t>ZAPMZ</t>
  </si>
  <si>
    <t>ZA 南非</t>
  </si>
  <si>
    <t>South Africa</t>
  </si>
  <si>
    <t>日本</t>
  </si>
  <si>
    <t>JPPUJ</t>
  </si>
  <si>
    <t>JP 日本</t>
  </si>
  <si>
    <t>Japan</t>
  </si>
  <si>
    <t>新西蘭</t>
  </si>
  <si>
    <t>NZPUN</t>
  </si>
  <si>
    <t>New Zealand</t>
  </si>
  <si>
    <t>阿根廷</t>
  </si>
  <si>
    <t>ARUNI</t>
  </si>
  <si>
    <t>AR 阿根廷</t>
  </si>
  <si>
    <t>Argentina</t>
  </si>
  <si>
    <t>中國</t>
  </si>
  <si>
    <t>CNLSL</t>
  </si>
  <si>
    <t>CN 中國</t>
  </si>
  <si>
    <t>China</t>
  </si>
  <si>
    <t>XS</t>
  </si>
  <si>
    <t>713948 McLAREN REPLICA SOFTSHELL JACKET</t>
  </si>
  <si>
    <t>男装开胸衫</t>
  </si>
  <si>
    <t>男装T恤</t>
  </si>
  <si>
    <t>70645_01</t>
  </si>
  <si>
    <t>713951 McLAREN REPLICA POLO</t>
  </si>
  <si>
    <t>衫身成份：94% RECYCLED POLY 6% ELASTANE</t>
  </si>
  <si>
    <t xml:space="preserve">713952 McLAREN REPLICA TEE </t>
  </si>
  <si>
    <t xml:space="preserve">713953 McLAREN REPLICA TEE </t>
  </si>
  <si>
    <t xml:space="preserve">713954 McLAREN REPLICA TEE </t>
  </si>
  <si>
    <t>木瓜橙</t>
  </si>
  <si>
    <t>VIETNAM</t>
  </si>
  <si>
    <t>C/O</t>
  </si>
  <si>
    <t>德国</t>
  </si>
  <si>
    <t>土耳其</t>
  </si>
  <si>
    <t>TRPUE</t>
  </si>
  <si>
    <t>TRPTA</t>
  </si>
  <si>
    <t>Turkey</t>
  </si>
  <si>
    <t>加拿大</t>
  </si>
  <si>
    <t>CAPUC</t>
  </si>
  <si>
    <t>PNA 加拿大</t>
  </si>
  <si>
    <t>Canada</t>
  </si>
  <si>
    <t>C/O
产地</t>
  </si>
  <si>
    <t>Vietnam</t>
  </si>
  <si>
    <t>GBEU1</t>
  </si>
  <si>
    <t>2026/4/10</t>
  </si>
  <si>
    <t>2026/4/15</t>
  </si>
  <si>
    <t>4801365297</t>
  </si>
  <si>
    <t>4801365298</t>
  </si>
  <si>
    <t>4602826713</t>
  </si>
  <si>
    <t>4602824225</t>
  </si>
  <si>
    <t>4602826738</t>
  </si>
  <si>
    <t>4602826717</t>
  </si>
  <si>
    <t>AERET</t>
  </si>
  <si>
    <t>2026/5/31</t>
  </si>
  <si>
    <t>4602826726</t>
  </si>
  <si>
    <t>韩国</t>
  </si>
  <si>
    <t>2026/5/10</t>
  </si>
  <si>
    <t>4602826721</t>
  </si>
  <si>
    <t>KRPUK</t>
  </si>
  <si>
    <t>KR 韓國</t>
  </si>
  <si>
    <t>Korea, Republic of</t>
  </si>
  <si>
    <t>4602824226</t>
  </si>
  <si>
    <t>2026/5/15</t>
  </si>
  <si>
    <t>4602826733</t>
  </si>
  <si>
    <t>4801365300</t>
  </si>
  <si>
    <t>厄瓜多爾</t>
  </si>
  <si>
    <t>2026/6/25</t>
  </si>
  <si>
    <t>2026/6/30</t>
  </si>
  <si>
    <t>4602826727</t>
  </si>
  <si>
    <t>ECDID</t>
  </si>
  <si>
    <t>AM 厄瓜多尔</t>
  </si>
  <si>
    <t>Ecuador</t>
  </si>
  <si>
    <t>4602824229</t>
  </si>
  <si>
    <t>4602826715</t>
  </si>
  <si>
    <t>4602826719</t>
  </si>
  <si>
    <t>4602826729</t>
  </si>
  <si>
    <t>4602826736</t>
  </si>
  <si>
    <t>4602826730</t>
  </si>
  <si>
    <t>2026/5/25</t>
  </si>
  <si>
    <t>4602826740</t>
  </si>
  <si>
    <t>INPMN</t>
  </si>
  <si>
    <t>4801365299</t>
  </si>
  <si>
    <t>2026/4/25</t>
  </si>
  <si>
    <t>2026/4/30</t>
  </si>
  <si>
    <t>4602826724</t>
  </si>
  <si>
    <t>台灣</t>
  </si>
  <si>
    <t>4602826714</t>
  </si>
  <si>
    <t>TWPUT</t>
  </si>
  <si>
    <t>Taiwan</t>
  </si>
  <si>
    <t>4602826735</t>
  </si>
  <si>
    <t>秘魯</t>
  </si>
  <si>
    <t>4602826732</t>
  </si>
  <si>
    <t>PEPUL</t>
  </si>
  <si>
    <t>Peru</t>
  </si>
  <si>
    <t>4801366514</t>
  </si>
  <si>
    <t>4602827881</t>
  </si>
  <si>
    <t>4602827891</t>
  </si>
  <si>
    <t>4801366515</t>
  </si>
  <si>
    <t>4801366513</t>
  </si>
  <si>
    <t>4602827878</t>
  </si>
  <si>
    <t>4602827880</t>
  </si>
  <si>
    <t>4602827894</t>
  </si>
  <si>
    <t>4602827887</t>
  </si>
  <si>
    <t>4602827886</t>
  </si>
  <si>
    <t>4602827890</t>
  </si>
  <si>
    <t>4602827884</t>
  </si>
  <si>
    <t>4602827882</t>
  </si>
  <si>
    <t>4602827879</t>
  </si>
  <si>
    <t>4602827892</t>
  </si>
  <si>
    <t>4602827888</t>
  </si>
  <si>
    <t>4801366517</t>
  </si>
  <si>
    <t>4602827883</t>
  </si>
  <si>
    <t>4602827893</t>
  </si>
  <si>
    <t>4602827885</t>
  </si>
  <si>
    <t>4602827889</t>
  </si>
  <si>
    <t>4602827895</t>
  </si>
  <si>
    <t>4801366516</t>
  </si>
  <si>
    <t>4602827899</t>
  </si>
  <si>
    <t>4602827810</t>
  </si>
  <si>
    <t>4602827801</t>
  </si>
  <si>
    <t>4602827798</t>
  </si>
  <si>
    <t>4602827814</t>
  </si>
  <si>
    <t>4602827795</t>
  </si>
  <si>
    <t>4801366339</t>
  </si>
  <si>
    <t>4602827816</t>
  </si>
  <si>
    <t>4602827826</t>
  </si>
  <si>
    <t>4602827802</t>
  </si>
  <si>
    <t>4602827808</t>
  </si>
  <si>
    <t>4602827806</t>
  </si>
  <si>
    <t>4602827822</t>
  </si>
  <si>
    <t>4602827818</t>
  </si>
  <si>
    <t>4602827813</t>
  </si>
  <si>
    <t>4602827823</t>
  </si>
  <si>
    <t>4801366341</t>
  </si>
  <si>
    <t>4602827805</t>
  </si>
  <si>
    <t>4602824227</t>
  </si>
  <si>
    <t>4602827793</t>
  </si>
  <si>
    <t>4602827897</t>
  </si>
  <si>
    <t>4602824224</t>
  </si>
  <si>
    <t>4602827821</t>
  </si>
  <si>
    <t>4801366343</t>
  </si>
  <si>
    <t>4602827796</t>
  </si>
  <si>
    <t>4801366337</t>
  </si>
  <si>
    <t>4602827799</t>
  </si>
  <si>
    <t>4602827820</t>
  </si>
  <si>
    <t>4602827804</t>
  </si>
  <si>
    <t>4602827803</t>
  </si>
  <si>
    <t>4602827792</t>
  </si>
  <si>
    <t>4602827824</t>
  </si>
  <si>
    <t>4602827817</t>
  </si>
  <si>
    <t>4602827815</t>
  </si>
  <si>
    <t>4602827819</t>
  </si>
  <si>
    <t>4602827825</t>
  </si>
  <si>
    <t>4602827800</t>
  </si>
  <si>
    <t>4602827807</t>
  </si>
  <si>
    <t>4602827812</t>
  </si>
  <si>
    <t>4602824223</t>
  </si>
  <si>
    <t>4602824228</t>
  </si>
  <si>
    <t>4801366335</t>
  </si>
  <si>
    <t>4801366346</t>
  </si>
  <si>
    <t>4602827794</t>
  </si>
  <si>
    <t>4602827797</t>
  </si>
  <si>
    <t>4602827809</t>
  </si>
  <si>
    <t>4801366348</t>
  </si>
  <si>
    <t>4602827811</t>
  </si>
  <si>
    <t>4602827898</t>
  </si>
  <si>
    <t>4602827251</t>
  </si>
  <si>
    <t>4602827260</t>
  </si>
  <si>
    <t>4801365696</t>
  </si>
  <si>
    <t>4602827255</t>
  </si>
  <si>
    <t>4801365704</t>
  </si>
  <si>
    <t>4602827220</t>
  </si>
  <si>
    <t>4602827223</t>
  </si>
  <si>
    <t>4602827246</t>
  </si>
  <si>
    <t>4602827240</t>
  </si>
  <si>
    <t>4801365698</t>
  </si>
  <si>
    <t>713954</t>
  </si>
  <si>
    <t xml:space="preserve">印度 </t>
  </si>
  <si>
    <t>CO</t>
  </si>
  <si>
    <t>荷蘭</t>
  </si>
  <si>
    <t>NLBRN</t>
  </si>
  <si>
    <t>GL GL荷兰</t>
  </si>
  <si>
    <t>Netherlands</t>
  </si>
  <si>
    <t>4900015506</t>
  </si>
  <si>
    <t>4900015516</t>
  </si>
  <si>
    <t>AH26</t>
  </si>
  <si>
    <t>马来西亚</t>
  </si>
  <si>
    <t>MYPUM</t>
  </si>
  <si>
    <t>MYPUT</t>
  </si>
  <si>
    <t>Malaysia</t>
  </si>
  <si>
    <t>新加坡</t>
  </si>
  <si>
    <t>SGPUS</t>
  </si>
  <si>
    <t>SGPUT</t>
  </si>
  <si>
    <t>Singapore</t>
  </si>
  <si>
    <t>菲律賓</t>
  </si>
  <si>
    <t>PHPUP</t>
  </si>
  <si>
    <t>PHILIPPINES</t>
  </si>
  <si>
    <t>印度尼西亞</t>
  </si>
  <si>
    <t>IDPUI</t>
  </si>
  <si>
    <t>IDPUC</t>
  </si>
  <si>
    <t>Indonesia</t>
  </si>
  <si>
    <t>越南</t>
  </si>
  <si>
    <t>SGVNP</t>
  </si>
  <si>
    <t>泰國</t>
  </si>
  <si>
    <t>THPUT</t>
  </si>
  <si>
    <t>THPST</t>
  </si>
  <si>
    <t>Thailand</t>
  </si>
  <si>
    <t>法國</t>
  </si>
  <si>
    <t>FRPUF</t>
  </si>
  <si>
    <t>France</t>
  </si>
  <si>
    <t>4602846620</t>
  </si>
  <si>
    <t>4602846645</t>
  </si>
  <si>
    <t>4900015502</t>
  </si>
  <si>
    <t>4801376915</t>
  </si>
  <si>
    <t>4602846758</t>
  </si>
  <si>
    <t>4602846866</t>
  </si>
  <si>
    <t>4602846599</t>
  </si>
  <si>
    <t>4900015511</t>
  </si>
  <si>
    <t>4602846829</t>
  </si>
  <si>
    <t>4602846803</t>
  </si>
  <si>
    <t>4602846655</t>
  </si>
  <si>
    <t>4602846898</t>
  </si>
  <si>
    <t>4602846842</t>
  </si>
  <si>
    <t>4900015514</t>
  </si>
  <si>
    <t>4900015505</t>
  </si>
  <si>
    <t>4801376906</t>
  </si>
  <si>
    <t>4602846579</t>
  </si>
  <si>
    <t>4900015503</t>
  </si>
  <si>
    <t>4602846558</t>
  </si>
  <si>
    <t>4602846788</t>
  </si>
  <si>
    <t>4602846817</t>
  </si>
  <si>
    <t>4602846960</t>
  </si>
  <si>
    <t>4900015512</t>
  </si>
  <si>
    <t>4801376911</t>
  </si>
  <si>
    <t>4602846634</t>
  </si>
  <si>
    <t>4602846929</t>
  </si>
  <si>
    <t>4602846773</t>
  </si>
  <si>
    <t>4602846877</t>
  </si>
  <si>
    <t>4900015504</t>
  </si>
  <si>
    <t>4900015515</t>
  </si>
  <si>
    <t>4602846537</t>
  </si>
  <si>
    <t>4602846855</t>
  </si>
  <si>
    <t xml:space="preserve">713955 McLAREN REPLICA TEE </t>
  </si>
  <si>
    <t>女装半开胸反领T恤</t>
  </si>
  <si>
    <t>廠號：70640  款號：713955</t>
  </si>
  <si>
    <t>70640</t>
  </si>
  <si>
    <t>4900015513</t>
  </si>
  <si>
    <t>4900015501</t>
  </si>
  <si>
    <t>70650</t>
  </si>
  <si>
    <t>714046 McLAREN REPLICA GILET</t>
  </si>
  <si>
    <t>男装开胸背心</t>
  </si>
  <si>
    <t>廠號：70650  款號：714046</t>
  </si>
  <si>
    <t>1241</t>
  </si>
  <si>
    <t>70639</t>
  </si>
  <si>
    <t>713952</t>
  </si>
  <si>
    <t>巴西</t>
  </si>
  <si>
    <t>BRPUB</t>
  </si>
  <si>
    <t xml:space="preserve">AM </t>
  </si>
  <si>
    <t>Brazil</t>
  </si>
  <si>
    <t>英国</t>
  </si>
  <si>
    <t>Great Britain</t>
  </si>
  <si>
    <t>英國</t>
  </si>
  <si>
    <t>GBAZ1</t>
  </si>
  <si>
    <t>United Kingdom</t>
  </si>
  <si>
    <t>2601016</t>
  </si>
  <si>
    <t>4801396221</t>
  </si>
  <si>
    <t>4602875838</t>
  </si>
  <si>
    <t>4801396227</t>
  </si>
  <si>
    <t>4602875836</t>
  </si>
  <si>
    <t>4801396224</t>
  </si>
  <si>
    <t>4602875839</t>
  </si>
  <si>
    <t>AH 26</t>
  </si>
  <si>
    <t>4602874778</t>
  </si>
  <si>
    <t>4602874776</t>
  </si>
  <si>
    <t>4602858431</t>
  </si>
  <si>
    <t>4602858433</t>
  </si>
  <si>
    <t>2026/05/05</t>
  </si>
  <si>
    <t>2026/05/01</t>
  </si>
  <si>
    <t>AH26（MCLAREN)</t>
  </si>
  <si>
    <t>當月出貨</t>
  </si>
  <si>
    <r>
      <t>更新+</t>
    </r>
    <r>
      <rPr>
        <sz val="12"/>
        <color rgb="FFFF0000"/>
        <rFont val="Cambria"/>
        <family val="1"/>
        <scheme val="major"/>
      </rPr>
      <t>紅字體</t>
    </r>
  </si>
  <si>
    <t>中國單-&gt;測試辦</t>
  </si>
  <si>
    <t>已走貨</t>
  </si>
  <si>
    <t>章頁更新提醒</t>
  </si>
  <si>
    <t>荷蘭單-&gt;測試辦</t>
  </si>
  <si>
    <t>追加數</t>
  </si>
  <si>
    <r>
      <t>貨期不可遲+</t>
    </r>
    <r>
      <rPr>
        <sz val="12"/>
        <color rgb="FFFF0000"/>
        <rFont val="Cambria"/>
        <family val="1"/>
        <scheme val="major"/>
      </rPr>
      <t>紅字體</t>
    </r>
  </si>
  <si>
    <t>日本單-&gt;KAKEN查貨</t>
  </si>
  <si>
    <t>廠號：70641   款號：713953</t>
  </si>
  <si>
    <t>印尼單-&gt;SGS箱檢</t>
  </si>
  <si>
    <t>Label     (嘜頭)</t>
  </si>
  <si>
    <t>RefNo                      (制單號）</t>
  </si>
  <si>
    <t>Fty No              （廠號）</t>
  </si>
  <si>
    <t>Country               (國家）</t>
  </si>
  <si>
    <t>Style               （款號）</t>
  </si>
  <si>
    <t>Color code                                                                         EN Color name                               （英文色名）</t>
  </si>
  <si>
    <t>CN Color name（中文色名）</t>
  </si>
  <si>
    <t>實際走貨數</t>
  </si>
  <si>
    <t>ShipDate                  （離廠期）</t>
  </si>
  <si>
    <t>Contract No                                     （PO#）</t>
  </si>
  <si>
    <t>Season/Year （季節/年份）</t>
  </si>
  <si>
    <t>Regional        (区域）</t>
  </si>
  <si>
    <t>PO Release Date              (下單日期)</t>
  </si>
  <si>
    <t xml:space="preserve">廠號：70639   款號：713952 </t>
  </si>
  <si>
    <t>廠號：70643 款號：713951</t>
  </si>
  <si>
    <t>衫身成分：                 100%  Polyester</t>
  </si>
  <si>
    <t xml:space="preserve">廠號：70641   款號：713948 </t>
  </si>
  <si>
    <t>廠號：70645  款號：713954</t>
  </si>
  <si>
    <t>Upadate LCHD</t>
  </si>
  <si>
    <t>4/30/2026</t>
  </si>
  <si>
    <r>
      <rPr>
        <strike/>
        <sz val="18"/>
        <color theme="1"/>
        <rFont val="Cambria"/>
        <family val="1"/>
        <scheme val="major"/>
      </rPr>
      <t>4/25/2026</t>
    </r>
    <r>
      <rPr>
        <sz val="18"/>
        <color theme="1"/>
        <rFont val="Cambria"/>
        <family val="1"/>
        <scheme val="major"/>
      </rPr>
      <t xml:space="preserve">
4/30/2026</t>
    </r>
  </si>
  <si>
    <t xml:space="preserve"> 29/1: cập nhật GH 30/4/2026</t>
  </si>
  <si>
    <t>4900015510</t>
  </si>
  <si>
    <t>Ngày 29/1: Cập nhật GH 15/4/26</t>
  </si>
  <si>
    <t>SEA</t>
  </si>
  <si>
    <t>Ngày 29/1: Cập nhật GH 20/5</t>
  </si>
  <si>
    <t>4/15/2026</t>
  </si>
  <si>
    <t>Ngày 29/1: Cập nhật GH 30/4</t>
  </si>
  <si>
    <r>
      <rPr>
        <strike/>
        <sz val="16"/>
        <rFont val="Cambria"/>
        <family val="1"/>
      </rPr>
      <t>4/25/2026</t>
    </r>
    <r>
      <rPr>
        <sz val="16"/>
        <rFont val="Cambria"/>
        <family val="1"/>
      </rPr>
      <t xml:space="preserve">
4/30/2026</t>
    </r>
  </si>
  <si>
    <t>Ngày 29/1: Cập nhật GH 15/04/26</t>
  </si>
  <si>
    <t>Ngày 29/1: Cập nhật GH 15/7</t>
  </si>
  <si>
    <t>Ngày 29/1: cập nhật GH 30/4</t>
  </si>
  <si>
    <t>Ngày 29/1: Cập nhật GH 25/5</t>
  </si>
  <si>
    <r>
      <rPr>
        <strike/>
        <sz val="16"/>
        <rFont val="Cambria"/>
        <family val="1"/>
        <scheme val="major"/>
      </rPr>
      <t>4/10/2026</t>
    </r>
    <r>
      <rPr>
        <sz val="16"/>
        <rFont val="Cambria"/>
        <family val="1"/>
        <scheme val="major"/>
      </rPr>
      <t xml:space="preserve">
4/15/2026</t>
    </r>
  </si>
  <si>
    <t>Ngày 29/1: Cập nhật GH 05/05/26</t>
  </si>
  <si>
    <t>29/1: Cập nhật GH 20/4/26</t>
  </si>
  <si>
    <t>29/1: cập nhật GH 30/5</t>
  </si>
  <si>
    <t>29/1: Cập nhật GH 15/7</t>
  </si>
  <si>
    <t>29/1: CẬP NHẬT gh 30/4</t>
  </si>
  <si>
    <t>29/1: Cập nhật GH 15/4/26</t>
  </si>
  <si>
    <t>29/1: cập nhật GH 15/4/26</t>
  </si>
  <si>
    <t>29/1: cập nhật GH 25/5/26</t>
  </si>
  <si>
    <t>29/1: cập nhật GH 30/4/26</t>
  </si>
  <si>
    <t>4602858432</t>
  </si>
  <si>
    <t>PO MỚI</t>
  </si>
  <si>
    <r>
      <rPr>
        <strike/>
        <sz val="16"/>
        <color theme="1"/>
        <rFont val="Cambria"/>
        <family val="1"/>
        <scheme val="major"/>
      </rPr>
      <t>6/30/2026</t>
    </r>
    <r>
      <rPr>
        <sz val="16"/>
        <color theme="1"/>
        <rFont val="Cambria"/>
        <family val="1"/>
        <scheme val="major"/>
      </rPr>
      <t xml:space="preserve">
4/29/2026</t>
    </r>
  </si>
  <si>
    <t>Ngày 29/1: Cập nhật GH 4/29/2026</t>
  </si>
  <si>
    <t>ĐƠN HÀNG MỚI</t>
  </si>
  <si>
    <t xml:space="preserve">29/1: Cập nhật GH 2026/04/29 </t>
  </si>
  <si>
    <t>713951</t>
  </si>
  <si>
    <t>4602894500</t>
  </si>
  <si>
    <t>4602894498</t>
  </si>
  <si>
    <t>4602894487</t>
  </si>
  <si>
    <t>4602894508</t>
  </si>
  <si>
    <t>4602894502</t>
  </si>
  <si>
    <t>4602894501</t>
  </si>
  <si>
    <t>4602894486</t>
  </si>
  <si>
    <t>4602894499</t>
  </si>
  <si>
    <t>智利</t>
  </si>
  <si>
    <t>4602894485</t>
  </si>
  <si>
    <t>CLPUL</t>
  </si>
  <si>
    <t xml:space="preserve">CHILE </t>
  </si>
  <si>
    <t>4602894497</t>
  </si>
  <si>
    <t>4602894492</t>
  </si>
  <si>
    <t>4602894505</t>
  </si>
  <si>
    <t>4801408488</t>
  </si>
  <si>
    <t>4602894493</t>
  </si>
  <si>
    <t>4602894506</t>
  </si>
  <si>
    <t>4602894484</t>
  </si>
  <si>
    <t>4602894494</t>
  </si>
  <si>
    <t>4602894496</t>
  </si>
  <si>
    <t>4602894507</t>
  </si>
  <si>
    <t>4801408485</t>
  </si>
  <si>
    <t>4801408486</t>
  </si>
  <si>
    <t>4801408487</t>
  </si>
  <si>
    <t>4602894503</t>
  </si>
  <si>
    <t>4602894490</t>
  </si>
  <si>
    <t>4602894504</t>
  </si>
  <si>
    <t>4602894488</t>
  </si>
  <si>
    <t>po mới</t>
  </si>
  <si>
    <r>
      <t>更新+</t>
    </r>
    <r>
      <rPr>
        <sz val="18"/>
        <color rgb="FFFF0000"/>
        <rFont val="Cambria"/>
        <family val="1"/>
        <scheme val="major"/>
      </rPr>
      <t>紅字體</t>
    </r>
  </si>
  <si>
    <r>
      <t>貨期不可遲+</t>
    </r>
    <r>
      <rPr>
        <sz val="18"/>
        <color rgb="FFFF0000"/>
        <rFont val="Cambria"/>
        <family val="1"/>
        <scheme val="major"/>
      </rPr>
      <t>紅字體</t>
    </r>
  </si>
  <si>
    <r>
      <rPr>
        <strike/>
        <sz val="18"/>
        <color theme="1"/>
        <rFont val="Cambria"/>
        <family val="1"/>
        <scheme val="major"/>
      </rPr>
      <t>6/30/2026</t>
    </r>
    <r>
      <rPr>
        <sz val="18"/>
        <color theme="1"/>
        <rFont val="Cambria"/>
        <family val="1"/>
        <scheme val="major"/>
      </rPr>
      <t xml:space="preserve">
4/29/2026</t>
    </r>
  </si>
  <si>
    <r>
      <t>更新+</t>
    </r>
    <r>
      <rPr>
        <sz val="16"/>
        <color rgb="FFFF0000"/>
        <rFont val="Cambria"/>
        <family val="1"/>
        <scheme val="major"/>
      </rPr>
      <t>紅字體</t>
    </r>
  </si>
  <si>
    <r>
      <t>貨期不可遲+</t>
    </r>
    <r>
      <rPr>
        <sz val="16"/>
        <color rgb="FFFF0000"/>
        <rFont val="Cambria"/>
        <family val="1"/>
        <scheme val="major"/>
      </rPr>
      <t>紅字體</t>
    </r>
  </si>
  <si>
    <r>
      <rPr>
        <strike/>
        <sz val="16"/>
        <color theme="1"/>
        <rFont val="Cambria"/>
        <family val="1"/>
        <scheme val="major"/>
      </rPr>
      <t>4/15/2026</t>
    </r>
    <r>
      <rPr>
        <sz val="16"/>
        <color theme="1"/>
        <rFont val="Cambria"/>
        <family val="1"/>
        <scheme val="major"/>
      </rPr>
      <t xml:space="preserve">
4/20/2026</t>
    </r>
  </si>
  <si>
    <r>
      <rPr>
        <strike/>
        <sz val="16"/>
        <color theme="1"/>
        <rFont val="Cambria"/>
        <family val="1"/>
        <scheme val="major"/>
      </rPr>
      <t>5/20/2026</t>
    </r>
    <r>
      <rPr>
        <sz val="16"/>
        <color theme="1"/>
        <rFont val="Cambria"/>
        <family val="1"/>
        <scheme val="major"/>
      </rPr>
      <t xml:space="preserve">
5/20/2026</t>
    </r>
  </si>
  <si>
    <r>
      <rPr>
        <strike/>
        <sz val="16"/>
        <color theme="1"/>
        <rFont val="Cambria"/>
        <family val="1"/>
      </rPr>
      <t>4/10/2026</t>
    </r>
    <r>
      <rPr>
        <sz val="16"/>
        <color theme="1"/>
        <rFont val="Cambria"/>
        <family val="1"/>
      </rPr>
      <t xml:space="preserve">
4/15/2026</t>
    </r>
  </si>
  <si>
    <r>
      <rPr>
        <i/>
        <strike/>
        <sz val="16"/>
        <color theme="1"/>
        <rFont val="Cambria"/>
        <family val="1"/>
        <scheme val="major"/>
      </rPr>
      <t>4/10/2026</t>
    </r>
    <r>
      <rPr>
        <sz val="16"/>
        <color theme="1"/>
        <rFont val="Cambria"/>
        <family val="1"/>
        <scheme val="major"/>
      </rPr>
      <t xml:space="preserve">
4/15/2026</t>
    </r>
  </si>
  <si>
    <r>
      <rPr>
        <strike/>
        <sz val="16"/>
        <color theme="1"/>
        <rFont val="Cambria"/>
        <family val="1"/>
        <scheme val="major"/>
      </rPr>
      <t>4/10/2026</t>
    </r>
    <r>
      <rPr>
        <sz val="16"/>
        <color theme="1"/>
        <rFont val="Cambria"/>
        <family val="1"/>
        <scheme val="major"/>
      </rPr>
      <t xml:space="preserve">
4/15/2026</t>
    </r>
  </si>
  <si>
    <r>
      <rPr>
        <strike/>
        <sz val="16"/>
        <color theme="1"/>
        <rFont val="Cambria"/>
        <family val="1"/>
        <scheme val="major"/>
      </rPr>
      <t>7/10/2026</t>
    </r>
    <r>
      <rPr>
        <sz val="16"/>
        <color theme="1"/>
        <rFont val="Cambria"/>
        <family val="1"/>
        <scheme val="major"/>
      </rPr>
      <t xml:space="preserve">
7/15/2026</t>
    </r>
  </si>
  <si>
    <r>
      <rPr>
        <strike/>
        <sz val="16"/>
        <color theme="1"/>
        <rFont val="Cambria"/>
        <family val="1"/>
        <scheme val="major"/>
      </rPr>
      <t>5/20/2026</t>
    </r>
    <r>
      <rPr>
        <sz val="16"/>
        <color theme="1"/>
        <rFont val="Cambria"/>
        <family val="1"/>
        <scheme val="major"/>
      </rPr>
      <t xml:space="preserve">
5/25/2026</t>
    </r>
  </si>
  <si>
    <r>
      <rPr>
        <strike/>
        <sz val="16"/>
        <color theme="1"/>
        <rFont val="Cambria"/>
        <family val="1"/>
        <scheme val="major"/>
      </rPr>
      <t>4/25/2026</t>
    </r>
    <r>
      <rPr>
        <sz val="16"/>
        <color theme="1"/>
        <rFont val="Cambria"/>
        <family val="1"/>
        <scheme val="major"/>
      </rPr>
      <t xml:space="preserve">
4/30/2026</t>
    </r>
  </si>
  <si>
    <r>
      <rPr>
        <strike/>
        <sz val="16"/>
        <color theme="1"/>
        <rFont val="Cambria"/>
        <family val="1"/>
        <scheme val="major"/>
      </rPr>
      <t>4/30/2026</t>
    </r>
    <r>
      <rPr>
        <sz val="16"/>
        <color theme="1"/>
        <rFont val="Cambria"/>
        <family val="1"/>
        <scheme val="major"/>
      </rPr>
      <t xml:space="preserve">
5/5/2026</t>
    </r>
  </si>
  <si>
    <r>
      <rPr>
        <strike/>
        <sz val="16"/>
        <color theme="1"/>
        <rFont val="Cambria"/>
        <family val="1"/>
        <scheme val="major"/>
      </rPr>
      <t>5/25/2026</t>
    </r>
    <r>
      <rPr>
        <sz val="16"/>
        <color theme="1"/>
        <rFont val="Cambria"/>
        <family val="1"/>
        <scheme val="major"/>
      </rPr>
      <t xml:space="preserve">
5/30/2026</t>
    </r>
  </si>
  <si>
    <r>
      <rPr>
        <strike/>
        <sz val="16"/>
        <color theme="1"/>
        <rFont val="Cambria"/>
        <family val="1"/>
        <scheme val="major"/>
      </rPr>
      <t>4/25/2026</t>
    </r>
    <r>
      <rPr>
        <sz val="16"/>
        <color theme="1"/>
        <rFont val="Cambria"/>
        <family val="1"/>
        <scheme val="major"/>
      </rPr>
      <t xml:space="preserve">
4/30/20266</t>
    </r>
  </si>
  <si>
    <r>
      <rPr>
        <strike/>
        <sz val="16"/>
        <color theme="1"/>
        <rFont val="Cambria"/>
        <family val="1"/>
        <scheme val="major"/>
      </rPr>
      <t>7/20/2026</t>
    </r>
    <r>
      <rPr>
        <sz val="16"/>
        <color theme="1"/>
        <rFont val="Cambria"/>
        <family val="1"/>
        <scheme val="major"/>
      </rPr>
      <t xml:space="preserve">
7/25/2026</t>
    </r>
  </si>
  <si>
    <t>Ngày 11/2: Cập nhật LCHD</t>
  </si>
  <si>
    <t xml:space="preserve">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</si>
</sst>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[$-409]d\-mmm;@"/>
    <numFmt numFmtId="165" formatCode="0.00_ "/>
    <numFmt numFmtId="166" formatCode="0_);[Red]\(0\)"/>
    <numFmt numFmtId="167" formatCode="yyyy\-mm\-dd;@"/>
    <numFmt numFmtId="168" formatCode="yyyy/m/d;@"/>
    <numFmt numFmtId="169" formatCode="mm/dd/yy;@"/>
    <numFmt numFmtId="170" formatCode="m/d/yyyy;@"/>
  </numFmts>
  <fonts count="44"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color theme="1"/>
      <name val="Calibri"/>
      <family val="1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sz val="12"/>
      <name val="Cambria"/>
      <family val="1"/>
      <scheme val="major"/>
    </font>
    <font>
      <sz val="12"/>
      <color rgb="FF92D050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8"/>
      <color theme="1"/>
      <name val="Cambria"/>
      <family val="1"/>
      <scheme val="major"/>
    </font>
    <font>
      <sz val="16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sz val="18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trike/>
      <sz val="1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4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sz val="16"/>
      <name val="Cambria"/>
      <family val="1"/>
    </font>
    <font>
      <strike/>
      <sz val="16"/>
      <name val="Cambria"/>
      <family val="1"/>
    </font>
    <font>
      <strike/>
      <sz val="16"/>
      <name val="Cambria"/>
      <family val="1"/>
      <scheme val="major"/>
    </font>
    <font>
      <sz val="11"/>
      <color theme="1"/>
      <name val="Calibri"/>
      <family val="2"/>
      <scheme val="minor"/>
    </font>
    <font>
      <strike/>
      <sz val="16"/>
      <color theme="1"/>
      <name val="Cambria"/>
      <family val="1"/>
      <scheme val="major"/>
    </font>
    <font>
      <b/>
      <sz val="16"/>
      <color indexed="8"/>
      <name val="Cambria"/>
      <family val="1"/>
      <scheme val="major"/>
    </font>
    <font>
      <sz val="16"/>
      <color theme="1"/>
      <name val="Arial"/>
      <family val="2"/>
    </font>
    <font>
      <sz val="18"/>
      <color rgb="FFFF0000"/>
      <name val="Cambria"/>
      <family val="1"/>
      <scheme val="major"/>
    </font>
    <font>
      <sz val="18"/>
      <color rgb="FF92D050"/>
      <name val="Cambria"/>
      <family val="1"/>
      <scheme val="major"/>
    </font>
    <font>
      <b/>
      <sz val="18"/>
      <color indexed="8"/>
      <name val="Cambria"/>
      <family val="1"/>
      <scheme val="major"/>
    </font>
    <font>
      <sz val="18"/>
      <color indexed="8"/>
      <name val="Cambria"/>
      <family val="1"/>
      <scheme val="major"/>
    </font>
    <font>
      <sz val="16"/>
      <color rgb="FFFF0000"/>
      <name val="Cambria"/>
      <family val="1"/>
      <scheme val="major"/>
    </font>
    <font>
      <sz val="16"/>
      <color rgb="FF92D050"/>
      <name val="Cambria"/>
      <family val="1"/>
      <scheme val="major"/>
    </font>
    <font>
      <sz val="16"/>
      <color theme="1"/>
      <name val="Times New Roman"/>
      <family val="1"/>
    </font>
    <font>
      <strike/>
      <sz val="16"/>
      <color theme="1"/>
      <name val="Cambria"/>
      <family val="1"/>
    </font>
    <font>
      <i/>
      <strike/>
      <sz val="16"/>
      <color theme="1"/>
      <name val="Cambria"/>
      <family val="1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">
    <xf numFmtId="164" fontId="0" fillId="0" borderId="0">
      <alignment vertical="center"/>
    </xf>
    <xf numFmtId="164" fontId="2" fillId="0" borderId="0"/>
    <xf numFmtId="164" fontId="2" fillId="0" borderId="0"/>
    <xf numFmtId="164" fontId="1" fillId="0" borderId="0"/>
    <xf numFmtId="164" fontId="3" fillId="0" borderId="0"/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2" fillId="0" borderId="0">
      <alignment vertical="center"/>
    </xf>
    <xf numFmtId="164" fontId="1" fillId="0" borderId="0" applyNumberFormat="0" applyFill="0" applyBorder="0" applyAlignment="0" applyProtection="0"/>
    <xf numFmtId="164" fontId="4" fillId="0" borderId="0"/>
    <xf numFmtId="164" fontId="4" fillId="0" borderId="0"/>
    <xf numFmtId="164" fontId="4" fillId="0" borderId="0"/>
    <xf numFmtId="164" fontId="6" fillId="0" borderId="0">
      <alignment vertical="center"/>
    </xf>
    <xf numFmtId="43" fontId="31" fillId="0" borderId="0" applyFont="0" applyFill="0" applyBorder="0" applyAlignment="0" applyProtection="0"/>
  </cellStyleXfs>
  <cellXfs count="389">
    <xf numFmtId="164" fontId="0" fillId="0" borderId="0" xfId="0">
      <alignment vertical="center"/>
    </xf>
    <xf numFmtId="164" fontId="7" fillId="0" borderId="0" xfId="10" applyFont="1">
      <alignment vertical="center"/>
    </xf>
    <xf numFmtId="164" fontId="8" fillId="0" borderId="0" xfId="10" applyFont="1" applyAlignment="1">
      <alignment horizontal="center" vertical="center"/>
    </xf>
    <xf numFmtId="164" fontId="8" fillId="0" borderId="0" xfId="10" applyFont="1">
      <alignment vertical="center"/>
    </xf>
    <xf numFmtId="49" fontId="8" fillId="0" borderId="0" xfId="10" applyNumberFormat="1" applyFont="1">
      <alignment vertical="center"/>
    </xf>
    <xf numFmtId="49" fontId="8" fillId="0" borderId="0" xfId="10" applyNumberFormat="1" applyFont="1" applyAlignment="1">
      <alignment horizontal="center" vertical="center"/>
    </xf>
    <xf numFmtId="164" fontId="8" fillId="0" borderId="0" xfId="10" applyNumberFormat="1" applyFont="1">
      <alignment vertical="center"/>
    </xf>
    <xf numFmtId="164" fontId="8" fillId="0" borderId="0" xfId="10" applyFont="1" applyFill="1">
      <alignment vertical="center"/>
    </xf>
    <xf numFmtId="164" fontId="9" fillId="0" borderId="0" xfId="0" applyFont="1">
      <alignment vertical="center"/>
    </xf>
    <xf numFmtId="49" fontId="8" fillId="0" borderId="0" xfId="10" applyNumberFormat="1" applyFont="1" applyAlignment="1">
      <alignment vertical="top" wrapText="1"/>
    </xf>
    <xf numFmtId="49" fontId="8" fillId="4" borderId="0" xfId="10" applyNumberFormat="1" applyFont="1" applyFill="1">
      <alignment vertical="center"/>
    </xf>
    <xf numFmtId="49" fontId="8" fillId="5" borderId="0" xfId="10" applyNumberFormat="1" applyFont="1" applyFill="1" applyAlignment="1">
      <alignment horizontal="center" vertical="center"/>
    </xf>
    <xf numFmtId="49" fontId="8" fillId="5" borderId="0" xfId="10" applyNumberFormat="1" applyFont="1" applyFill="1">
      <alignment vertical="center"/>
    </xf>
    <xf numFmtId="49" fontId="8" fillId="0" borderId="0" xfId="10" applyNumberFormat="1" applyFont="1" applyFill="1">
      <alignment vertical="center"/>
    </xf>
    <xf numFmtId="164" fontId="8" fillId="0" borderId="0" xfId="10" applyFont="1" applyFill="1" applyAlignment="1">
      <alignment horizontal="center" vertical="center"/>
    </xf>
    <xf numFmtId="49" fontId="9" fillId="0" borderId="0" xfId="10" applyNumberFormat="1" applyFont="1" applyAlignment="1">
      <alignment horizontal="center" vertical="center"/>
    </xf>
    <xf numFmtId="164" fontId="9" fillId="0" borderId="0" xfId="10" applyNumberFormat="1" applyFont="1">
      <alignment vertical="center"/>
    </xf>
    <xf numFmtId="164" fontId="9" fillId="0" borderId="0" xfId="10" applyFont="1">
      <alignment vertical="center"/>
    </xf>
    <xf numFmtId="49" fontId="8" fillId="0" borderId="0" xfId="10" applyNumberFormat="1" applyFont="1" applyFill="1" applyAlignment="1">
      <alignment vertical="top" wrapText="1"/>
    </xf>
    <xf numFmtId="164" fontId="7" fillId="0" borderId="0" xfId="10" applyFont="1" applyFill="1">
      <alignment vertical="center"/>
    </xf>
    <xf numFmtId="49" fontId="7" fillId="0" borderId="0" xfId="10" applyNumberFormat="1" applyFont="1" applyAlignment="1">
      <alignment vertical="top" wrapText="1"/>
    </xf>
    <xf numFmtId="49" fontId="8" fillId="6" borderId="0" xfId="10" applyNumberFormat="1" applyFont="1" applyFill="1">
      <alignment vertical="center"/>
    </xf>
    <xf numFmtId="49" fontId="8" fillId="7" borderId="0" xfId="10" applyNumberFormat="1" applyFont="1" applyFill="1" applyAlignment="1">
      <alignment horizontal="center" vertical="center"/>
    </xf>
    <xf numFmtId="49" fontId="8" fillId="7" borderId="0" xfId="10" applyNumberFormat="1" applyFont="1" applyFill="1">
      <alignment vertical="center"/>
    </xf>
    <xf numFmtId="164" fontId="8" fillId="11" borderId="0" xfId="10" applyFont="1" applyFill="1" applyAlignment="1">
      <alignment horizontal="center" vertical="center"/>
    </xf>
    <xf numFmtId="49" fontId="11" fillId="2" borderId="0" xfId="10" applyNumberFormat="1" applyFont="1" applyFill="1">
      <alignment vertical="center"/>
    </xf>
    <xf numFmtId="49" fontId="8" fillId="8" borderId="0" xfId="10" applyNumberFormat="1" applyFont="1" applyFill="1">
      <alignment vertical="center"/>
    </xf>
    <xf numFmtId="49" fontId="12" fillId="9" borderId="0" xfId="10" applyNumberFormat="1" applyFont="1" applyFill="1" applyAlignment="1">
      <alignment horizontal="center" vertical="center"/>
    </xf>
    <xf numFmtId="49" fontId="12" fillId="9" borderId="0" xfId="10" applyNumberFormat="1" applyFont="1" applyFill="1">
      <alignment vertical="center"/>
    </xf>
    <xf numFmtId="49" fontId="8" fillId="0" borderId="1" xfId="10" applyNumberFormat="1" applyFont="1" applyBorder="1" applyAlignment="1">
      <alignment vertical="top" wrapText="1"/>
    </xf>
    <xf numFmtId="164" fontId="8" fillId="0" borderId="0" xfId="10" applyNumberFormat="1" applyFont="1" applyAlignment="1">
      <alignment horizontal="center" vertical="center"/>
    </xf>
    <xf numFmtId="164" fontId="8" fillId="0" borderId="0" xfId="10" applyNumberFormat="1" applyFont="1" applyFill="1" applyAlignment="1">
      <alignment horizontal="center" vertical="center"/>
    </xf>
    <xf numFmtId="49" fontId="8" fillId="0" borderId="1" xfId="10" applyNumberFormat="1" applyFont="1" applyFill="1" applyBorder="1" applyAlignment="1">
      <alignment vertical="top" wrapText="1"/>
    </xf>
    <xf numFmtId="165" fontId="13" fillId="3" borderId="2" xfId="12" applyNumberFormat="1" applyFont="1" applyFill="1" applyBorder="1" applyAlignment="1">
      <alignment horizontal="center" wrapText="1"/>
    </xf>
    <xf numFmtId="49" fontId="13" fillId="3" borderId="2" xfId="13" applyNumberFormat="1" applyFont="1" applyFill="1" applyBorder="1" applyAlignment="1">
      <alignment horizontal="center" wrapText="1"/>
    </xf>
    <xf numFmtId="49" fontId="13" fillId="3" borderId="2" xfId="14" applyNumberFormat="1" applyFont="1" applyFill="1" applyBorder="1" applyAlignment="1">
      <alignment horizontal="center" wrapText="1"/>
    </xf>
    <xf numFmtId="49" fontId="13" fillId="10" borderId="2" xfId="14" applyNumberFormat="1" applyFont="1" applyFill="1" applyBorder="1" applyAlignment="1">
      <alignment horizontal="center" wrapText="1"/>
    </xf>
    <xf numFmtId="164" fontId="13" fillId="10" borderId="2" xfId="14" applyNumberFormat="1" applyFont="1" applyFill="1" applyBorder="1" applyAlignment="1">
      <alignment horizontal="center" wrapText="1"/>
    </xf>
    <xf numFmtId="165" fontId="13" fillId="3" borderId="2" xfId="13" applyNumberFormat="1" applyFont="1" applyFill="1" applyBorder="1" applyAlignment="1">
      <alignment horizontal="center" wrapText="1"/>
    </xf>
    <xf numFmtId="164" fontId="13" fillId="3" borderId="2" xfId="14" applyFont="1" applyFill="1" applyBorder="1" applyAlignment="1">
      <alignment horizontal="center" wrapText="1"/>
    </xf>
    <xf numFmtId="165" fontId="14" fillId="3" borderId="2" xfId="13" applyNumberFormat="1" applyFont="1" applyFill="1" applyBorder="1" applyAlignment="1">
      <alignment horizontal="center" wrapText="1"/>
    </xf>
    <xf numFmtId="165" fontId="13" fillId="3" borderId="0" xfId="13" applyNumberFormat="1" applyFont="1" applyFill="1" applyBorder="1" applyAlignment="1">
      <alignment horizontal="center" wrapText="1"/>
    </xf>
    <xf numFmtId="165" fontId="13" fillId="3" borderId="3" xfId="13" applyNumberFormat="1" applyFont="1" applyFill="1" applyBorder="1" applyAlignment="1">
      <alignment horizontal="center" wrapText="1"/>
    </xf>
    <xf numFmtId="164" fontId="15" fillId="2" borderId="4" xfId="10" applyFont="1" applyFill="1" applyBorder="1">
      <alignment vertical="center"/>
    </xf>
    <xf numFmtId="1" fontId="15" fillId="2" borderId="4" xfId="10" applyNumberFormat="1" applyFont="1" applyFill="1" applyBorder="1">
      <alignment vertical="center"/>
    </xf>
    <xf numFmtId="49" fontId="15" fillId="2" borderId="4" xfId="10" applyNumberFormat="1" applyFont="1" applyFill="1" applyBorder="1">
      <alignment vertical="center"/>
    </xf>
    <xf numFmtId="164" fontId="15" fillId="2" borderId="4" xfId="10" applyFont="1" applyFill="1" applyBorder="1" applyAlignment="1">
      <alignment horizontal="center" vertical="center"/>
    </xf>
    <xf numFmtId="0" fontId="15" fillId="2" borderId="4" xfId="10" applyNumberFormat="1" applyFont="1" applyFill="1" applyBorder="1">
      <alignment vertical="center"/>
    </xf>
    <xf numFmtId="49" fontId="15" fillId="2" borderId="4" xfId="10" applyNumberFormat="1" applyFont="1" applyFill="1" applyBorder="1" applyAlignment="1">
      <alignment horizontal="center" vertical="center"/>
    </xf>
    <xf numFmtId="164" fontId="15" fillId="2" borderId="4" xfId="10" applyNumberFormat="1" applyFont="1" applyFill="1" applyBorder="1">
      <alignment vertical="center"/>
    </xf>
    <xf numFmtId="164" fontId="16" fillId="2" borderId="4" xfId="10" applyFont="1" applyFill="1" applyBorder="1">
      <alignment vertical="center"/>
    </xf>
    <xf numFmtId="164" fontId="9" fillId="2" borderId="0" xfId="0" applyFont="1" applyFill="1">
      <alignment vertical="center"/>
    </xf>
    <xf numFmtId="164" fontId="16" fillId="2" borderId="6" xfId="10" applyFont="1" applyFill="1" applyBorder="1">
      <alignment vertical="center"/>
    </xf>
    <xf numFmtId="164" fontId="17" fillId="2" borderId="5" xfId="10" applyFont="1" applyFill="1" applyBorder="1" applyAlignment="1">
      <alignment horizontal="left" vertical="center"/>
    </xf>
    <xf numFmtId="1" fontId="17" fillId="2" borderId="5" xfId="10" applyNumberFormat="1" applyFont="1" applyFill="1" applyBorder="1" applyAlignment="1">
      <alignment horizontal="left" vertical="center"/>
    </xf>
    <xf numFmtId="49" fontId="17" fillId="2" borderId="5" xfId="10" applyNumberFormat="1" applyFont="1" applyFill="1" applyBorder="1" applyAlignment="1">
      <alignment horizontal="left" vertical="center"/>
    </xf>
    <xf numFmtId="0" fontId="17" fillId="2" borderId="5" xfId="10" applyNumberFormat="1" applyFont="1" applyFill="1" applyBorder="1" applyAlignment="1">
      <alignment horizontal="left" vertical="center"/>
    </xf>
    <xf numFmtId="164" fontId="17" fillId="2" borderId="5" xfId="10" applyNumberFormat="1" applyFont="1" applyFill="1" applyBorder="1" applyAlignment="1">
      <alignment horizontal="left" vertical="center"/>
    </xf>
    <xf numFmtId="164" fontId="17" fillId="2" borderId="5" xfId="10" applyFont="1" applyFill="1" applyBorder="1" applyAlignment="1">
      <alignment horizontal="center" vertical="center"/>
    </xf>
    <xf numFmtId="49" fontId="17" fillId="2" borderId="5" xfId="10" applyNumberFormat="1" applyFont="1" applyFill="1" applyBorder="1" applyAlignment="1">
      <alignment horizontal="center" vertical="center"/>
    </xf>
    <xf numFmtId="49" fontId="17" fillId="2" borderId="5" xfId="10" applyNumberFormat="1" applyFont="1" applyFill="1" applyBorder="1">
      <alignment vertical="center"/>
    </xf>
    <xf numFmtId="164" fontId="17" fillId="2" borderId="5" xfId="10" applyNumberFormat="1" applyFont="1" applyFill="1" applyBorder="1">
      <alignment vertical="center"/>
    </xf>
    <xf numFmtId="164" fontId="9" fillId="0" borderId="0" xfId="10" applyFont="1" applyAlignment="1">
      <alignment horizontal="center" vertical="center"/>
    </xf>
    <xf numFmtId="49" fontId="9" fillId="0" borderId="0" xfId="10" applyNumberFormat="1" applyFont="1">
      <alignment vertical="center"/>
    </xf>
    <xf numFmtId="164" fontId="9" fillId="0" borderId="0" xfId="10" applyFont="1" applyFill="1">
      <alignment vertical="center"/>
    </xf>
    <xf numFmtId="164" fontId="9" fillId="0" borderId="0" xfId="10" applyFont="1" applyFill="1" applyAlignment="1">
      <alignment horizontal="center" vertical="center"/>
    </xf>
    <xf numFmtId="49" fontId="19" fillId="0" borderId="0" xfId="10" applyNumberFormat="1" applyFont="1" applyAlignment="1">
      <alignment horizontal="center" vertical="center"/>
    </xf>
    <xf numFmtId="49" fontId="15" fillId="0" borderId="0" xfId="10" applyNumberFormat="1" applyFont="1" applyAlignment="1">
      <alignment horizontal="center" vertical="center"/>
    </xf>
    <xf numFmtId="164" fontId="17" fillId="2" borderId="5" xfId="10" applyFont="1" applyFill="1" applyBorder="1">
      <alignment vertical="center"/>
    </xf>
    <xf numFmtId="164" fontId="16" fillId="2" borderId="5" xfId="10" applyFont="1" applyFill="1" applyBorder="1">
      <alignment vertical="center"/>
    </xf>
    <xf numFmtId="164" fontId="8" fillId="0" borderId="0" xfId="10" applyFont="1" applyFill="1" applyAlignment="1">
      <alignment horizontal="left" vertical="center"/>
    </xf>
    <xf numFmtId="49" fontId="8" fillId="0" borderId="0" xfId="10" applyNumberFormat="1" applyFont="1" applyFill="1" applyAlignment="1">
      <alignment horizontal="left" vertical="top" wrapText="1"/>
    </xf>
    <xf numFmtId="49" fontId="8" fillId="0" borderId="1" xfId="10" applyNumberFormat="1" applyFont="1" applyFill="1" applyBorder="1" applyAlignment="1">
      <alignment horizontal="left" vertical="top" wrapText="1"/>
    </xf>
    <xf numFmtId="165" fontId="13" fillId="3" borderId="3" xfId="13" applyNumberFormat="1" applyFont="1" applyFill="1" applyBorder="1" applyAlignment="1">
      <alignment horizontal="left" wrapText="1"/>
    </xf>
    <xf numFmtId="1" fontId="15" fillId="2" borderId="4" xfId="10" applyNumberFormat="1" applyFont="1" applyFill="1" applyBorder="1" applyAlignment="1">
      <alignment horizontal="center" vertical="center"/>
    </xf>
    <xf numFmtId="166" fontId="20" fillId="2" borderId="4" xfId="12" applyNumberFormat="1" applyFont="1" applyFill="1" applyBorder="1" applyAlignment="1">
      <alignment horizontal="center" vertical="center" wrapText="1"/>
    </xf>
    <xf numFmtId="49" fontId="20" fillId="2" borderId="4" xfId="12" applyNumberFormat="1" applyFont="1" applyFill="1" applyBorder="1" applyAlignment="1">
      <alignment horizontal="center" vertical="center" wrapText="1"/>
    </xf>
    <xf numFmtId="0" fontId="15" fillId="2" borderId="4" xfId="10" applyNumberFormat="1" applyFont="1" applyFill="1" applyBorder="1" applyAlignment="1">
      <alignment horizontal="center" vertical="center"/>
    </xf>
    <xf numFmtId="164" fontId="15" fillId="2" borderId="4" xfId="10" applyNumberFormat="1" applyFont="1" applyFill="1" applyBorder="1" applyAlignment="1">
      <alignment horizontal="center" vertical="center"/>
    </xf>
    <xf numFmtId="164" fontId="16" fillId="2" borderId="4" xfId="10" applyFont="1" applyFill="1" applyBorder="1" applyAlignment="1">
      <alignment vertical="center"/>
    </xf>
    <xf numFmtId="164" fontId="15" fillId="2" borderId="4" xfId="10" applyFont="1" applyFill="1" applyBorder="1" applyAlignment="1">
      <alignment horizontal="left" vertical="center"/>
    </xf>
    <xf numFmtId="1" fontId="17" fillId="2" borderId="5" xfId="10" applyNumberFormat="1" applyFont="1" applyFill="1" applyBorder="1">
      <alignment vertical="center"/>
    </xf>
    <xf numFmtId="164" fontId="9" fillId="0" borderId="0" xfId="10" applyFont="1" applyFill="1" applyAlignment="1">
      <alignment horizontal="left" vertical="center"/>
    </xf>
    <xf numFmtId="0" fontId="17" fillId="2" borderId="5" xfId="10" applyNumberFormat="1" applyFont="1" applyFill="1" applyBorder="1">
      <alignment vertical="center"/>
    </xf>
    <xf numFmtId="164" fontId="7" fillId="0" borderId="0" xfId="10" applyFont="1" applyAlignment="1">
      <alignment horizontal="left" vertical="center" wrapText="1"/>
    </xf>
    <xf numFmtId="164" fontId="7" fillId="0" borderId="0" xfId="10" applyFont="1" applyAlignment="1">
      <alignment horizontal="center" vertical="center" wrapText="1"/>
    </xf>
    <xf numFmtId="164" fontId="9" fillId="2" borderId="0" xfId="10" applyFont="1" applyFill="1">
      <alignment vertical="center"/>
    </xf>
    <xf numFmtId="164" fontId="9" fillId="2" borderId="0" xfId="10" applyFont="1" applyFill="1" applyAlignment="1">
      <alignment horizontal="center" vertical="center"/>
    </xf>
    <xf numFmtId="49" fontId="9" fillId="2" borderId="0" xfId="10" applyNumberFormat="1" applyFont="1" applyFill="1">
      <alignment vertical="center"/>
    </xf>
    <xf numFmtId="49" fontId="9" fillId="2" borderId="0" xfId="10" applyNumberFormat="1" applyFont="1" applyFill="1" applyAlignment="1">
      <alignment horizontal="center" vertical="center"/>
    </xf>
    <xf numFmtId="164" fontId="20" fillId="2" borderId="4" xfId="12" applyNumberFormat="1" applyFont="1" applyFill="1" applyBorder="1" applyAlignment="1">
      <alignment horizontal="center" wrapText="1"/>
    </xf>
    <xf numFmtId="14" fontId="20" fillId="2" borderId="4" xfId="10" applyNumberFormat="1" applyFont="1" applyFill="1" applyBorder="1" applyAlignment="1">
      <alignment horizontal="center" vertical="center"/>
    </xf>
    <xf numFmtId="164" fontId="16" fillId="2" borderId="5" xfId="12" applyNumberFormat="1" applyFont="1" applyFill="1" applyBorder="1" applyAlignment="1">
      <alignment horizontal="center" wrapText="1"/>
    </xf>
    <xf numFmtId="14" fontId="17" fillId="2" borderId="5" xfId="10" applyNumberFormat="1" applyFont="1" applyFill="1" applyBorder="1" applyAlignment="1">
      <alignment horizontal="center" vertical="center"/>
    </xf>
    <xf numFmtId="164" fontId="9" fillId="2" borderId="0" xfId="10" applyNumberFormat="1" applyFont="1" applyFill="1">
      <alignment vertical="center"/>
    </xf>
    <xf numFmtId="49" fontId="24" fillId="0" borderId="0" xfId="10" applyNumberFormat="1" applyFont="1" applyAlignment="1">
      <alignment horizontal="center" vertical="center"/>
    </xf>
    <xf numFmtId="49" fontId="22" fillId="0" borderId="0" xfId="10" applyNumberFormat="1" applyFont="1" applyAlignment="1">
      <alignment horizontal="right" vertical="center"/>
    </xf>
    <xf numFmtId="170" fontId="15" fillId="2" borderId="5" xfId="10" applyNumberFormat="1" applyFont="1" applyFill="1" applyBorder="1">
      <alignment vertical="center"/>
    </xf>
    <xf numFmtId="170" fontId="13" fillId="3" borderId="2" xfId="13" applyNumberFormat="1" applyFont="1" applyFill="1" applyBorder="1" applyAlignment="1">
      <alignment horizontal="center" vertical="center" wrapText="1"/>
    </xf>
    <xf numFmtId="170" fontId="15" fillId="2" borderId="4" xfId="10" applyNumberFormat="1" applyFont="1" applyFill="1" applyBorder="1">
      <alignment vertical="center"/>
    </xf>
    <xf numFmtId="170" fontId="17" fillId="2" borderId="5" xfId="10" applyNumberFormat="1" applyFont="1" applyFill="1" applyBorder="1" applyAlignment="1">
      <alignment horizontal="left" vertical="center"/>
    </xf>
    <xf numFmtId="164" fontId="17" fillId="0" borderId="0" xfId="0" applyFont="1">
      <alignment vertical="center"/>
    </xf>
    <xf numFmtId="164" fontId="17" fillId="2" borderId="0" xfId="0" applyFont="1" applyFill="1">
      <alignment vertical="center"/>
    </xf>
    <xf numFmtId="164" fontId="17" fillId="2" borderId="0" xfId="0" applyFont="1" applyFill="1" applyBorder="1">
      <alignment vertical="center"/>
    </xf>
    <xf numFmtId="170" fontId="17" fillId="2" borderId="4" xfId="10" applyNumberFormat="1" applyFont="1" applyFill="1" applyBorder="1" applyAlignment="1">
      <alignment horizontal="center" vertical="center"/>
    </xf>
    <xf numFmtId="170" fontId="17" fillId="2" borderId="5" xfId="10" applyNumberFormat="1" applyFont="1" applyFill="1" applyBorder="1">
      <alignment vertical="center"/>
    </xf>
    <xf numFmtId="165" fontId="13" fillId="3" borderId="2" xfId="13" applyNumberFormat="1" applyFont="1" applyFill="1" applyBorder="1" applyAlignment="1">
      <alignment horizontal="center" vertical="center" wrapText="1"/>
    </xf>
    <xf numFmtId="1" fontId="18" fillId="0" borderId="0" xfId="16" applyNumberFormat="1" applyFont="1" applyAlignment="1">
      <alignment horizontal="center" vertical="center"/>
    </xf>
    <xf numFmtId="1" fontId="21" fillId="0" borderId="0" xfId="10" applyNumberFormat="1" applyFont="1" applyAlignment="1">
      <alignment horizontal="center" vertical="center"/>
    </xf>
    <xf numFmtId="49" fontId="15" fillId="2" borderId="5" xfId="10" applyNumberFormat="1" applyFont="1" applyFill="1" applyBorder="1">
      <alignment vertical="center"/>
    </xf>
    <xf numFmtId="164" fontId="17" fillId="2" borderId="0" xfId="0" applyFont="1" applyFill="1" applyAlignment="1">
      <alignment horizontal="left" vertical="center"/>
    </xf>
    <xf numFmtId="165" fontId="33" fillId="12" borderId="2" xfId="12" applyNumberFormat="1" applyFont="1" applyFill="1" applyBorder="1" applyAlignment="1">
      <alignment horizontal="center" vertical="center" wrapText="1"/>
    </xf>
    <xf numFmtId="49" fontId="33" fillId="12" borderId="2" xfId="13" applyNumberFormat="1" applyFont="1" applyFill="1" applyBorder="1" applyAlignment="1">
      <alignment horizontal="center" vertical="center" wrapText="1"/>
    </xf>
    <xf numFmtId="49" fontId="33" fillId="12" borderId="2" xfId="14" applyNumberFormat="1" applyFont="1" applyFill="1" applyBorder="1" applyAlignment="1">
      <alignment horizontal="center" vertical="center" wrapText="1"/>
    </xf>
    <xf numFmtId="164" fontId="33" fillId="12" borderId="2" xfId="14" applyNumberFormat="1" applyFont="1" applyFill="1" applyBorder="1" applyAlignment="1">
      <alignment horizontal="center" vertical="center" wrapText="1"/>
    </xf>
    <xf numFmtId="170" fontId="33" fillId="12" borderId="2" xfId="13" applyNumberFormat="1" applyFont="1" applyFill="1" applyBorder="1" applyAlignment="1">
      <alignment horizontal="center" vertical="center" wrapText="1"/>
    </xf>
    <xf numFmtId="165" fontId="33" fillId="12" borderId="2" xfId="13" applyNumberFormat="1" applyFont="1" applyFill="1" applyBorder="1" applyAlignment="1">
      <alignment horizontal="center" vertical="center" wrapText="1"/>
    </xf>
    <xf numFmtId="164" fontId="33" fillId="12" borderId="2" xfId="14" applyFont="1" applyFill="1" applyBorder="1" applyAlignment="1">
      <alignment horizontal="center" vertical="center" wrapText="1"/>
    </xf>
    <xf numFmtId="165" fontId="33" fillId="12" borderId="2" xfId="13" applyNumberFormat="1" applyFont="1" applyFill="1" applyBorder="1" applyAlignment="1">
      <alignment horizontal="left" vertical="center" wrapText="1"/>
    </xf>
    <xf numFmtId="165" fontId="33" fillId="12" borderId="0" xfId="13" applyNumberFormat="1" applyFont="1" applyFill="1" applyBorder="1" applyAlignment="1">
      <alignment horizontal="center" vertical="center" wrapText="1"/>
    </xf>
    <xf numFmtId="165" fontId="33" fillId="12" borderId="3" xfId="13" applyNumberFormat="1" applyFont="1" applyFill="1" applyBorder="1" applyAlignment="1">
      <alignment horizontal="center" vertical="center" wrapText="1"/>
    </xf>
    <xf numFmtId="164" fontId="17" fillId="2" borderId="0" xfId="0" applyFont="1" applyFill="1" applyAlignment="1">
      <alignment vertical="center"/>
    </xf>
    <xf numFmtId="49" fontId="16" fillId="2" borderId="4" xfId="10" applyNumberFormat="1" applyFont="1" applyFill="1" applyBorder="1" applyAlignment="1">
      <alignment horizontal="center" vertical="center"/>
    </xf>
    <xf numFmtId="170" fontId="15" fillId="2" borderId="4" xfId="10" applyNumberFormat="1" applyFont="1" applyFill="1" applyBorder="1" applyAlignment="1">
      <alignment horizontal="center" vertical="center" wrapText="1"/>
    </xf>
    <xf numFmtId="164" fontId="16" fillId="2" borderId="4" xfId="10" applyFont="1" applyFill="1" applyBorder="1" applyAlignment="1">
      <alignment horizontal="center" vertical="center"/>
    </xf>
    <xf numFmtId="164" fontId="27" fillId="2" borderId="0" xfId="0" applyFont="1" applyFill="1" applyAlignment="1">
      <alignment horizontal="left" vertical="center"/>
    </xf>
    <xf numFmtId="164" fontId="27" fillId="2" borderId="0" xfId="0" applyFont="1" applyFill="1" applyAlignment="1"/>
    <xf numFmtId="170" fontId="28" fillId="2" borderId="5" xfId="12" applyNumberFormat="1" applyFont="1" applyFill="1" applyBorder="1" applyAlignment="1">
      <alignment horizontal="center" vertical="center" wrapText="1"/>
    </xf>
    <xf numFmtId="164" fontId="27" fillId="2" borderId="0" xfId="0" applyFont="1" applyFill="1" applyAlignment="1">
      <alignment horizontal="left" vertical="top"/>
    </xf>
    <xf numFmtId="164" fontId="27" fillId="2" borderId="0" xfId="0" applyFont="1" applyFill="1" applyAlignment="1">
      <alignment vertical="center"/>
    </xf>
    <xf numFmtId="49" fontId="16" fillId="2" borderId="4" xfId="10" applyNumberFormat="1" applyFont="1" applyFill="1" applyBorder="1" applyAlignment="1">
      <alignment horizontal="left" vertical="center"/>
    </xf>
    <xf numFmtId="49" fontId="15" fillId="2" borderId="4" xfId="10" applyNumberFormat="1" applyFont="1" applyFill="1" applyBorder="1" applyAlignment="1">
      <alignment horizontal="left" vertical="center"/>
    </xf>
    <xf numFmtId="164" fontId="26" fillId="2" borderId="0" xfId="0" applyFont="1" applyFill="1" applyAlignment="1">
      <alignment vertical="center"/>
    </xf>
    <xf numFmtId="164" fontId="16" fillId="2" borderId="4" xfId="12" applyFont="1" applyFill="1" applyBorder="1" applyAlignment="1">
      <alignment horizontal="center" wrapText="1"/>
    </xf>
    <xf numFmtId="166" fontId="16" fillId="2" borderId="4" xfId="12" applyNumberFormat="1" applyFont="1" applyFill="1" applyBorder="1" applyAlignment="1">
      <alignment horizontal="center" wrapText="1"/>
    </xf>
    <xf numFmtId="166" fontId="16" fillId="2" borderId="4" xfId="12" applyNumberFormat="1" applyFont="1" applyFill="1" applyBorder="1" applyAlignment="1">
      <alignment horizontal="left" wrapText="1"/>
    </xf>
    <xf numFmtId="49" fontId="16" fillId="2" borderId="4" xfId="12" applyNumberFormat="1" applyFont="1" applyFill="1" applyBorder="1" applyAlignment="1">
      <alignment horizontal="left" wrapText="1"/>
    </xf>
    <xf numFmtId="0" fontId="16" fillId="2" borderId="4" xfId="12" applyNumberFormat="1" applyFont="1" applyFill="1" applyBorder="1" applyAlignment="1">
      <alignment horizontal="center" wrapText="1"/>
    </xf>
    <xf numFmtId="170" fontId="16" fillId="2" borderId="4" xfId="12" applyNumberFormat="1" applyFont="1" applyFill="1" applyBorder="1" applyAlignment="1">
      <alignment horizontal="center" wrapText="1"/>
    </xf>
    <xf numFmtId="49" fontId="16" fillId="2" borderId="4" xfId="12" applyNumberFormat="1" applyFont="1" applyFill="1" applyBorder="1" applyAlignment="1">
      <alignment horizontal="center" wrapText="1"/>
    </xf>
    <xf numFmtId="164" fontId="16" fillId="2" borderId="4" xfId="12" applyNumberFormat="1" applyFont="1" applyFill="1" applyBorder="1" applyAlignment="1">
      <alignment horizontal="center" wrapText="1"/>
    </xf>
    <xf numFmtId="14" fontId="16" fillId="2" borderId="4" xfId="12" applyNumberFormat="1" applyFont="1" applyFill="1" applyBorder="1" applyAlignment="1">
      <alignment horizontal="center" wrapText="1"/>
    </xf>
    <xf numFmtId="164" fontId="16" fillId="2" borderId="6" xfId="12" applyFont="1" applyFill="1" applyBorder="1" applyAlignment="1">
      <alignment vertical="center" wrapText="1"/>
    </xf>
    <xf numFmtId="166" fontId="16" fillId="2" borderId="6" xfId="12" applyNumberFormat="1" applyFont="1" applyFill="1" applyBorder="1" applyAlignment="1">
      <alignment vertical="center" wrapText="1"/>
    </xf>
    <xf numFmtId="49" fontId="16" fillId="2" borderId="6" xfId="12" applyNumberFormat="1" applyFont="1" applyFill="1" applyBorder="1" applyAlignment="1">
      <alignment vertical="center" wrapText="1"/>
    </xf>
    <xf numFmtId="0" fontId="16" fillId="2" borderId="6" xfId="12" applyNumberFormat="1" applyFont="1" applyFill="1" applyBorder="1" applyAlignment="1">
      <alignment vertical="center" wrapText="1"/>
    </xf>
    <xf numFmtId="49" fontId="16" fillId="2" borderId="6" xfId="12" applyNumberFormat="1" applyFont="1" applyFill="1" applyBorder="1" applyAlignment="1">
      <alignment horizontal="center" vertical="center" wrapText="1"/>
    </xf>
    <xf numFmtId="164" fontId="16" fillId="2" borderId="6" xfId="12" applyNumberFormat="1" applyFont="1" applyFill="1" applyBorder="1" applyAlignment="1">
      <alignment vertical="center" wrapText="1"/>
    </xf>
    <xf numFmtId="14" fontId="16" fillId="2" borderId="6" xfId="12" applyNumberFormat="1" applyFont="1" applyFill="1" applyBorder="1" applyAlignment="1">
      <alignment vertical="center" wrapText="1"/>
    </xf>
    <xf numFmtId="164" fontId="15" fillId="2" borderId="5" xfId="10" applyFont="1" applyFill="1" applyBorder="1">
      <alignment vertical="center"/>
    </xf>
    <xf numFmtId="164" fontId="15" fillId="2" borderId="5" xfId="10" applyFont="1" applyFill="1" applyBorder="1" applyAlignment="1">
      <alignment horizontal="center" vertical="center"/>
    </xf>
    <xf numFmtId="0" fontId="15" fillId="2" borderId="5" xfId="10" applyNumberFormat="1" applyFont="1" applyFill="1" applyBorder="1">
      <alignment vertical="center"/>
    </xf>
    <xf numFmtId="49" fontId="16" fillId="2" borderId="6" xfId="12" applyNumberFormat="1" applyFont="1" applyFill="1" applyBorder="1" applyAlignment="1">
      <alignment horizontal="center" wrapText="1"/>
    </xf>
    <xf numFmtId="164" fontId="15" fillId="2" borderId="5" xfId="10" applyNumberFormat="1" applyFont="1" applyFill="1" applyBorder="1">
      <alignment vertical="center"/>
    </xf>
    <xf numFmtId="1" fontId="15" fillId="2" borderId="5" xfId="10" applyNumberFormat="1" applyFont="1" applyFill="1" applyBorder="1">
      <alignment vertical="center"/>
    </xf>
    <xf numFmtId="169" fontId="15" fillId="2" borderId="5" xfId="10" applyNumberFormat="1" applyFont="1" applyFill="1" applyBorder="1">
      <alignment vertical="center"/>
    </xf>
    <xf numFmtId="169" fontId="15" fillId="2" borderId="5" xfId="10" applyNumberFormat="1" applyFont="1" applyFill="1" applyBorder="1" applyAlignment="1">
      <alignment horizontal="center" vertical="center" wrapText="1"/>
    </xf>
    <xf numFmtId="49" fontId="15" fillId="2" borderId="5" xfId="10" applyNumberFormat="1" applyFont="1" applyFill="1" applyBorder="1" applyAlignment="1">
      <alignment horizontal="center" vertical="center"/>
    </xf>
    <xf numFmtId="164" fontId="25" fillId="2" borderId="0" xfId="0" applyFont="1" applyFill="1" applyAlignment="1"/>
    <xf numFmtId="164" fontId="17" fillId="2" borderId="4" xfId="10" applyFont="1" applyFill="1" applyBorder="1">
      <alignment vertical="center"/>
    </xf>
    <xf numFmtId="1" fontId="17" fillId="2" borderId="4" xfId="10" applyNumberFormat="1" applyFont="1" applyFill="1" applyBorder="1">
      <alignment vertical="center"/>
    </xf>
    <xf numFmtId="164" fontId="17" fillId="2" borderId="4" xfId="10" applyFont="1" applyFill="1" applyBorder="1" applyAlignment="1">
      <alignment horizontal="center" vertical="center"/>
    </xf>
    <xf numFmtId="49" fontId="17" fillId="2" borderId="4" xfId="10" applyNumberFormat="1" applyFont="1" applyFill="1" applyBorder="1" applyAlignment="1">
      <alignment horizontal="left" vertical="center"/>
    </xf>
    <xf numFmtId="49" fontId="17" fillId="2" borderId="4" xfId="10" applyNumberFormat="1" applyFont="1" applyFill="1" applyBorder="1">
      <alignment vertical="center"/>
    </xf>
    <xf numFmtId="0" fontId="17" fillId="2" borderId="4" xfId="10" applyNumberFormat="1" applyFont="1" applyFill="1" applyBorder="1" applyAlignment="1">
      <alignment horizontal="center" vertical="center"/>
    </xf>
    <xf numFmtId="170" fontId="17" fillId="2" borderId="4" xfId="10" applyNumberFormat="1" applyFont="1" applyFill="1" applyBorder="1">
      <alignment vertical="center"/>
    </xf>
    <xf numFmtId="49" fontId="17" fillId="2" borderId="4" xfId="10" applyNumberFormat="1" applyFont="1" applyFill="1" applyBorder="1" applyAlignment="1">
      <alignment horizontal="center" vertical="center"/>
    </xf>
    <xf numFmtId="164" fontId="17" fillId="2" borderId="4" xfId="10" applyNumberFormat="1" applyFont="1" applyFill="1" applyBorder="1">
      <alignment vertical="center"/>
    </xf>
    <xf numFmtId="170" fontId="17" fillId="2" borderId="4" xfId="10" applyNumberFormat="1" applyFont="1" applyFill="1" applyBorder="1" applyAlignment="1">
      <alignment horizontal="center" vertical="center" wrapText="1"/>
    </xf>
    <xf numFmtId="49" fontId="16" fillId="2" borderId="0" xfId="12" applyNumberFormat="1" applyFont="1" applyFill="1" applyBorder="1" applyAlignment="1">
      <alignment horizontal="center" wrapText="1"/>
    </xf>
    <xf numFmtId="164" fontId="17" fillId="2" borderId="0" xfId="10" applyFont="1" applyFill="1" applyBorder="1" applyAlignment="1">
      <alignment horizontal="left" vertical="center"/>
    </xf>
    <xf numFmtId="1" fontId="17" fillId="2" borderId="0" xfId="10" applyNumberFormat="1" applyFont="1" applyFill="1" applyBorder="1" applyAlignment="1">
      <alignment horizontal="left" vertical="center"/>
    </xf>
    <xf numFmtId="49" fontId="17" fillId="2" borderId="0" xfId="10" applyNumberFormat="1" applyFont="1" applyFill="1" applyBorder="1" applyAlignment="1">
      <alignment horizontal="left" vertical="center"/>
    </xf>
    <xf numFmtId="0" fontId="17" fillId="2" borderId="0" xfId="10" applyNumberFormat="1" applyFont="1" applyFill="1" applyBorder="1" applyAlignment="1">
      <alignment horizontal="left" vertical="center"/>
    </xf>
    <xf numFmtId="170" fontId="17" fillId="2" borderId="0" xfId="10" applyNumberFormat="1" applyFont="1" applyFill="1" applyBorder="1" applyAlignment="1">
      <alignment horizontal="left" vertical="center"/>
    </xf>
    <xf numFmtId="49" fontId="17" fillId="2" borderId="0" xfId="10" applyNumberFormat="1" applyFont="1" applyFill="1" applyBorder="1" applyAlignment="1">
      <alignment horizontal="center" vertical="center"/>
    </xf>
    <xf numFmtId="49" fontId="17" fillId="2" borderId="0" xfId="10" applyNumberFormat="1" applyFont="1" applyFill="1" applyBorder="1">
      <alignment vertical="center"/>
    </xf>
    <xf numFmtId="164" fontId="17" fillId="2" borderId="0" xfId="10" applyNumberFormat="1" applyFont="1" applyFill="1" applyBorder="1">
      <alignment vertical="center"/>
    </xf>
    <xf numFmtId="164" fontId="17" fillId="2" borderId="0" xfId="10" applyFont="1" applyFill="1" applyBorder="1" applyAlignment="1">
      <alignment horizontal="center" vertical="center"/>
    </xf>
    <xf numFmtId="170" fontId="8" fillId="0" borderId="0" xfId="10" applyNumberFormat="1" applyFont="1">
      <alignment vertical="center"/>
    </xf>
    <xf numFmtId="170" fontId="8" fillId="0" borderId="0" xfId="10" applyNumberFormat="1" applyFont="1" applyFill="1">
      <alignment vertical="center"/>
    </xf>
    <xf numFmtId="170" fontId="13" fillId="3" borderId="2" xfId="13" applyNumberFormat="1" applyFont="1" applyFill="1" applyBorder="1" applyAlignment="1">
      <alignment horizontal="center" wrapText="1"/>
    </xf>
    <xf numFmtId="170" fontId="9" fillId="0" borderId="0" xfId="10" applyNumberFormat="1" applyFont="1">
      <alignment vertical="center"/>
    </xf>
    <xf numFmtId="170" fontId="8" fillId="0" borderId="0" xfId="10" applyNumberFormat="1" applyFont="1" applyAlignment="1">
      <alignment horizontal="center" vertical="center"/>
    </xf>
    <xf numFmtId="170" fontId="8" fillId="0" borderId="0" xfId="10" applyNumberFormat="1" applyFont="1" applyFill="1" applyAlignment="1">
      <alignment horizontal="center" vertical="center"/>
    </xf>
    <xf numFmtId="49" fontId="8" fillId="0" borderId="0" xfId="10" applyNumberFormat="1" applyFont="1" applyFill="1" applyAlignment="1">
      <alignment horizontal="center" vertical="center"/>
    </xf>
    <xf numFmtId="170" fontId="17" fillId="2" borderId="5" xfId="10" applyNumberFormat="1" applyFont="1" applyFill="1" applyBorder="1" applyAlignment="1">
      <alignment horizontal="center" vertical="center"/>
    </xf>
    <xf numFmtId="170" fontId="9" fillId="0" borderId="0" xfId="10" applyNumberFormat="1" applyFont="1" applyAlignment="1">
      <alignment horizontal="center" vertical="center"/>
    </xf>
    <xf numFmtId="164" fontId="21" fillId="0" borderId="0" xfId="10" applyFont="1">
      <alignment vertical="center"/>
    </xf>
    <xf numFmtId="164" fontId="15" fillId="0" borderId="0" xfId="10" applyFont="1" applyAlignment="1">
      <alignment horizontal="center" vertical="center"/>
    </xf>
    <xf numFmtId="164" fontId="15" fillId="0" borderId="0" xfId="10" applyFont="1">
      <alignment vertical="center"/>
    </xf>
    <xf numFmtId="49" fontId="15" fillId="0" borderId="0" xfId="10" applyNumberFormat="1" applyFont="1">
      <alignment vertical="center"/>
    </xf>
    <xf numFmtId="49" fontId="15" fillId="0" borderId="0" xfId="10" applyNumberFormat="1" applyFont="1" applyAlignment="1">
      <alignment horizontal="left" vertical="center"/>
    </xf>
    <xf numFmtId="167" fontId="15" fillId="0" borderId="0" xfId="10" applyNumberFormat="1" applyFont="1">
      <alignment vertical="center"/>
    </xf>
    <xf numFmtId="164" fontId="15" fillId="0" borderId="0" xfId="10" applyNumberFormat="1" applyFont="1">
      <alignment vertical="center"/>
    </xf>
    <xf numFmtId="164" fontId="15" fillId="0" borderId="0" xfId="10" applyFont="1" applyFill="1">
      <alignment vertical="center"/>
    </xf>
    <xf numFmtId="164" fontId="15" fillId="0" borderId="0" xfId="0" applyFont="1">
      <alignment vertical="center"/>
    </xf>
    <xf numFmtId="49" fontId="15" fillId="0" borderId="0" xfId="10" applyNumberFormat="1" applyFont="1" applyAlignment="1">
      <alignment vertical="top" wrapText="1"/>
    </xf>
    <xf numFmtId="49" fontId="15" fillId="4" borderId="0" xfId="10" applyNumberFormat="1" applyFont="1" applyFill="1" applyAlignment="1">
      <alignment horizontal="left" vertical="center"/>
    </xf>
    <xf numFmtId="49" fontId="15" fillId="5" borderId="0" xfId="10" applyNumberFormat="1" applyFont="1" applyFill="1" applyAlignment="1">
      <alignment horizontal="center" vertical="center"/>
    </xf>
    <xf numFmtId="49" fontId="15" fillId="5" borderId="0" xfId="10" applyNumberFormat="1" applyFont="1" applyFill="1">
      <alignment vertical="center"/>
    </xf>
    <xf numFmtId="49" fontId="15" fillId="0" borderId="0" xfId="10" applyNumberFormat="1" applyFont="1" applyFill="1">
      <alignment vertical="center"/>
    </xf>
    <xf numFmtId="164" fontId="15" fillId="0" borderId="0" xfId="10" applyFont="1" applyFill="1" applyAlignment="1">
      <alignment horizontal="center" vertical="center"/>
    </xf>
    <xf numFmtId="49" fontId="15" fillId="0" borderId="0" xfId="10" applyNumberFormat="1" applyFont="1" applyFill="1" applyAlignment="1">
      <alignment vertical="top" wrapText="1"/>
    </xf>
    <xf numFmtId="164" fontId="21" fillId="0" borderId="0" xfId="10" applyFont="1" applyFill="1">
      <alignment vertical="center"/>
    </xf>
    <xf numFmtId="49" fontId="21" fillId="0" borderId="0" xfId="10" applyNumberFormat="1" applyFont="1" applyAlignment="1">
      <alignment vertical="top" wrapText="1"/>
    </xf>
    <xf numFmtId="49" fontId="15" fillId="6" borderId="0" xfId="10" applyNumberFormat="1" applyFont="1" applyFill="1" applyAlignment="1">
      <alignment horizontal="left" vertical="center"/>
    </xf>
    <xf numFmtId="49" fontId="15" fillId="7" borderId="0" xfId="10" applyNumberFormat="1" applyFont="1" applyFill="1" applyAlignment="1">
      <alignment horizontal="center" vertical="center"/>
    </xf>
    <xf numFmtId="49" fontId="15" fillId="7" borderId="0" xfId="10" applyNumberFormat="1" applyFont="1" applyFill="1">
      <alignment vertical="center"/>
    </xf>
    <xf numFmtId="164" fontId="15" fillId="11" borderId="0" xfId="10" applyFont="1" applyFill="1" applyAlignment="1">
      <alignment horizontal="center" vertical="center"/>
    </xf>
    <xf numFmtId="49" fontId="20" fillId="2" borderId="0" xfId="10" applyNumberFormat="1" applyFont="1" applyFill="1">
      <alignment vertical="center"/>
    </xf>
    <xf numFmtId="49" fontId="20" fillId="2" borderId="0" xfId="10" applyNumberFormat="1" applyFont="1" applyFill="1" applyAlignment="1">
      <alignment horizontal="left" vertical="center"/>
    </xf>
    <xf numFmtId="49" fontId="15" fillId="8" borderId="0" xfId="10" applyNumberFormat="1" applyFont="1" applyFill="1" applyAlignment="1">
      <alignment horizontal="left" vertical="center"/>
    </xf>
    <xf numFmtId="49" fontId="36" fillId="9" borderId="0" xfId="10" applyNumberFormat="1" applyFont="1" applyFill="1" applyAlignment="1">
      <alignment horizontal="center" vertical="center"/>
    </xf>
    <xf numFmtId="49" fontId="36" fillId="9" borderId="0" xfId="10" applyNumberFormat="1" applyFont="1" applyFill="1">
      <alignment vertical="center"/>
    </xf>
    <xf numFmtId="49" fontId="15" fillId="0" borderId="1" xfId="10" applyNumberFormat="1" applyFont="1" applyBorder="1" applyAlignment="1">
      <alignment vertical="top" wrapText="1"/>
    </xf>
    <xf numFmtId="164" fontId="15" fillId="0" borderId="0" xfId="10" applyNumberFormat="1" applyFont="1" applyAlignment="1">
      <alignment horizontal="left" vertical="center"/>
    </xf>
    <xf numFmtId="164" fontId="15" fillId="0" borderId="0" xfId="10" applyNumberFormat="1" applyFont="1" applyAlignment="1">
      <alignment horizontal="center" vertical="center"/>
    </xf>
    <xf numFmtId="164" fontId="15" fillId="0" borderId="0" xfId="10" applyNumberFormat="1" applyFont="1" applyFill="1" applyAlignment="1">
      <alignment horizontal="center" vertical="center"/>
    </xf>
    <xf numFmtId="49" fontId="15" fillId="0" borderId="1" xfId="10" applyNumberFormat="1" applyFont="1" applyFill="1" applyBorder="1" applyAlignment="1">
      <alignment vertical="top" wrapText="1"/>
    </xf>
    <xf numFmtId="165" fontId="37" fillId="3" borderId="2" xfId="12" applyNumberFormat="1" applyFont="1" applyFill="1" applyBorder="1" applyAlignment="1">
      <alignment horizontal="center" wrapText="1"/>
    </xf>
    <xf numFmtId="49" fontId="37" fillId="3" borderId="2" xfId="13" applyNumberFormat="1" applyFont="1" applyFill="1" applyBorder="1" applyAlignment="1">
      <alignment horizontal="center" wrapText="1"/>
    </xf>
    <xf numFmtId="49" fontId="37" fillId="3" borderId="2" xfId="14" applyNumberFormat="1" applyFont="1" applyFill="1" applyBorder="1" applyAlignment="1">
      <alignment horizontal="center" wrapText="1"/>
    </xf>
    <xf numFmtId="49" fontId="37" fillId="10" borderId="2" xfId="14" applyNumberFormat="1" applyFont="1" applyFill="1" applyBorder="1" applyAlignment="1">
      <alignment horizontal="left" wrapText="1"/>
    </xf>
    <xf numFmtId="164" fontId="37" fillId="10" borderId="2" xfId="14" applyNumberFormat="1" applyFont="1" applyFill="1" applyBorder="1" applyAlignment="1">
      <alignment horizontal="left" wrapText="1"/>
    </xf>
    <xf numFmtId="164" fontId="38" fillId="10" borderId="2" xfId="14" applyNumberFormat="1" applyFont="1" applyFill="1" applyBorder="1" applyAlignment="1">
      <alignment horizontal="center" wrapText="1"/>
    </xf>
    <xf numFmtId="164" fontId="37" fillId="10" borderId="2" xfId="14" applyNumberFormat="1" applyFont="1" applyFill="1" applyBorder="1" applyAlignment="1">
      <alignment horizontal="center" wrapText="1"/>
    </xf>
    <xf numFmtId="167" fontId="37" fillId="3" borderId="2" xfId="13" applyNumberFormat="1" applyFont="1" applyFill="1" applyBorder="1" applyAlignment="1">
      <alignment horizontal="center" wrapText="1"/>
    </xf>
    <xf numFmtId="165" fontId="37" fillId="3" borderId="2" xfId="13" applyNumberFormat="1" applyFont="1" applyFill="1" applyBorder="1" applyAlignment="1">
      <alignment horizontal="center" wrapText="1"/>
    </xf>
    <xf numFmtId="170" fontId="37" fillId="3" borderId="2" xfId="13" applyNumberFormat="1" applyFont="1" applyFill="1" applyBorder="1" applyAlignment="1">
      <alignment horizontal="center" vertical="center" wrapText="1"/>
    </xf>
    <xf numFmtId="164" fontId="37" fillId="3" borderId="2" xfId="14" applyFont="1" applyFill="1" applyBorder="1" applyAlignment="1">
      <alignment horizontal="center" wrapText="1"/>
    </xf>
    <xf numFmtId="165" fontId="37" fillId="3" borderId="0" xfId="13" applyNumberFormat="1" applyFont="1" applyFill="1" applyBorder="1" applyAlignment="1">
      <alignment horizontal="center" wrapText="1"/>
    </xf>
    <xf numFmtId="165" fontId="37" fillId="3" borderId="3" xfId="13" applyNumberFormat="1" applyFont="1" applyFill="1" applyBorder="1" applyAlignment="1">
      <alignment horizontal="center" wrapText="1"/>
    </xf>
    <xf numFmtId="164" fontId="15" fillId="0" borderId="4" xfId="10" applyFont="1" applyFill="1" applyBorder="1">
      <alignment vertical="center"/>
    </xf>
    <xf numFmtId="1" fontId="15" fillId="0" borderId="4" xfId="10" applyNumberFormat="1" applyFont="1" applyFill="1" applyBorder="1">
      <alignment vertical="center"/>
    </xf>
    <xf numFmtId="164" fontId="15" fillId="0" borderId="4" xfId="10" applyFont="1" applyFill="1" applyBorder="1" applyAlignment="1">
      <alignment horizontal="center" vertical="center"/>
    </xf>
    <xf numFmtId="49" fontId="15" fillId="0" borderId="4" xfId="10" applyNumberFormat="1" applyFont="1" applyFill="1" applyBorder="1" applyAlignment="1">
      <alignment horizontal="left" vertical="center"/>
    </xf>
    <xf numFmtId="49" fontId="15" fillId="0" borderId="4" xfId="10" applyNumberFormat="1" applyFont="1" applyFill="1" applyBorder="1">
      <alignment vertical="center"/>
    </xf>
    <xf numFmtId="0" fontId="15" fillId="0" borderId="4" xfId="10" applyNumberFormat="1" applyFont="1" applyFill="1" applyBorder="1" applyAlignment="1">
      <alignment horizontal="left" vertical="center"/>
    </xf>
    <xf numFmtId="0" fontId="15" fillId="0" borderId="4" xfId="10" applyNumberFormat="1" applyFont="1" applyFill="1" applyBorder="1" applyAlignment="1">
      <alignment horizontal="center" vertical="center"/>
    </xf>
    <xf numFmtId="170" fontId="15" fillId="0" borderId="4" xfId="10" applyNumberFormat="1" applyFont="1" applyFill="1" applyBorder="1">
      <alignment vertical="center"/>
    </xf>
    <xf numFmtId="49" fontId="15" fillId="0" borderId="4" xfId="10" applyNumberFormat="1" applyFont="1" applyFill="1" applyBorder="1" applyAlignment="1">
      <alignment horizontal="center" vertical="center"/>
    </xf>
    <xf numFmtId="164" fontId="15" fillId="0" borderId="4" xfId="10" applyNumberFormat="1" applyFont="1" applyFill="1" applyBorder="1">
      <alignment vertical="center"/>
    </xf>
    <xf numFmtId="164" fontId="20" fillId="0" borderId="4" xfId="10" applyFont="1" applyFill="1" applyBorder="1">
      <alignment vertical="center"/>
    </xf>
    <xf numFmtId="164" fontId="15" fillId="0" borderId="0" xfId="0" applyFont="1" applyFill="1">
      <alignment vertical="center"/>
    </xf>
    <xf numFmtId="0" fontId="15" fillId="2" borderId="4" xfId="10" applyNumberFormat="1" applyFont="1" applyFill="1" applyBorder="1" applyAlignment="1">
      <alignment horizontal="left" vertical="center"/>
    </xf>
    <xf numFmtId="164" fontId="20" fillId="2" borderId="4" xfId="10" applyFont="1" applyFill="1" applyBorder="1">
      <alignment vertical="center"/>
    </xf>
    <xf numFmtId="164" fontId="15" fillId="2" borderId="0" xfId="0" applyFont="1" applyFill="1">
      <alignment vertical="center"/>
    </xf>
    <xf numFmtId="164" fontId="15" fillId="0" borderId="5" xfId="10" applyFont="1" applyFill="1" applyBorder="1">
      <alignment vertical="center"/>
    </xf>
    <xf numFmtId="49" fontId="15" fillId="0" borderId="5" xfId="10" applyNumberFormat="1" applyFont="1" applyFill="1" applyBorder="1">
      <alignment vertical="center"/>
    </xf>
    <xf numFmtId="164" fontId="15" fillId="0" borderId="5" xfId="10" applyFont="1" applyFill="1" applyBorder="1" applyAlignment="1">
      <alignment horizontal="center" vertical="center"/>
    </xf>
    <xf numFmtId="49" fontId="15" fillId="0" borderId="5" xfId="10" applyNumberFormat="1" applyFont="1" applyFill="1" applyBorder="1" applyAlignment="1">
      <alignment horizontal="left" vertical="center"/>
    </xf>
    <xf numFmtId="0" fontId="15" fillId="0" borderId="5" xfId="10" applyNumberFormat="1" applyFont="1" applyFill="1" applyBorder="1" applyAlignment="1">
      <alignment horizontal="left" vertical="center"/>
    </xf>
    <xf numFmtId="170" fontId="15" fillId="0" borderId="5" xfId="10" applyNumberFormat="1" applyFont="1" applyFill="1" applyBorder="1">
      <alignment vertical="center"/>
    </xf>
    <xf numFmtId="49" fontId="15" fillId="0" borderId="5" xfId="10" applyNumberFormat="1" applyFont="1" applyFill="1" applyBorder="1" applyAlignment="1">
      <alignment horizontal="center" vertical="center"/>
    </xf>
    <xf numFmtId="164" fontId="15" fillId="0" borderId="5" xfId="10" applyNumberFormat="1" applyFont="1" applyFill="1" applyBorder="1">
      <alignment vertical="center"/>
    </xf>
    <xf numFmtId="0" fontId="15" fillId="2" borderId="5" xfId="10" applyNumberFormat="1" applyFont="1" applyFill="1" applyBorder="1" applyAlignment="1">
      <alignment horizontal="left" vertical="center"/>
    </xf>
    <xf numFmtId="49" fontId="15" fillId="2" borderId="5" xfId="10" applyNumberFormat="1" applyFont="1" applyFill="1" applyBorder="1" applyAlignment="1">
      <alignment horizontal="left" vertical="center"/>
    </xf>
    <xf numFmtId="164" fontId="20" fillId="2" borderId="5" xfId="10" applyFont="1" applyFill="1" applyBorder="1">
      <alignment vertical="center"/>
    </xf>
    <xf numFmtId="2" fontId="15" fillId="2" borderId="5" xfId="10" applyNumberFormat="1" applyFont="1" applyFill="1" applyBorder="1" applyAlignment="1">
      <alignment horizontal="left" vertical="center"/>
    </xf>
    <xf numFmtId="0" fontId="15" fillId="2" borderId="5" xfId="10" applyNumberFormat="1" applyFont="1" applyFill="1" applyBorder="1" applyAlignment="1">
      <alignment horizontal="center" vertical="center"/>
    </xf>
    <xf numFmtId="167" fontId="15" fillId="2" borderId="5" xfId="10" applyNumberFormat="1" applyFont="1" applyFill="1" applyBorder="1">
      <alignment vertical="center"/>
    </xf>
    <xf numFmtId="164" fontId="15" fillId="0" borderId="5" xfId="10" applyFont="1" applyBorder="1">
      <alignment vertical="center"/>
    </xf>
    <xf numFmtId="164" fontId="15" fillId="0" borderId="5" xfId="10" applyFont="1" applyBorder="1" applyAlignment="1">
      <alignment horizontal="center" vertical="center"/>
    </xf>
    <xf numFmtId="49" fontId="15" fillId="0" borderId="5" xfId="10" applyNumberFormat="1" applyFont="1" applyBorder="1">
      <alignment vertical="center"/>
    </xf>
    <xf numFmtId="49" fontId="15" fillId="0" borderId="5" xfId="10" applyNumberFormat="1" applyFont="1" applyBorder="1" applyAlignment="1">
      <alignment horizontal="left" vertical="center"/>
    </xf>
    <xf numFmtId="1" fontId="21" fillId="0" borderId="5" xfId="10" applyNumberFormat="1" applyFont="1" applyBorder="1" applyAlignment="1">
      <alignment horizontal="center" vertical="center"/>
    </xf>
    <xf numFmtId="167" fontId="15" fillId="0" borderId="5" xfId="10" applyNumberFormat="1" applyFont="1" applyBorder="1">
      <alignment vertical="center"/>
    </xf>
    <xf numFmtId="49" fontId="15" fillId="0" borderId="5" xfId="10" applyNumberFormat="1" applyFont="1" applyBorder="1" applyAlignment="1">
      <alignment horizontal="center" vertical="center"/>
    </xf>
    <xf numFmtId="164" fontId="15" fillId="0" borderId="5" xfId="10" applyNumberFormat="1" applyFont="1" applyBorder="1">
      <alignment vertical="center"/>
    </xf>
    <xf numFmtId="164" fontId="18" fillId="0" borderId="0" xfId="10" applyFont="1">
      <alignment vertical="center"/>
    </xf>
    <xf numFmtId="164" fontId="17" fillId="0" borderId="0" xfId="10" applyFont="1" applyAlignment="1">
      <alignment horizontal="center" vertical="center"/>
    </xf>
    <xf numFmtId="164" fontId="17" fillId="0" borderId="0" xfId="10" applyFont="1">
      <alignment vertical="center"/>
    </xf>
    <xf numFmtId="49" fontId="17" fillId="0" borderId="0" xfId="10" applyNumberFormat="1" applyFont="1">
      <alignment vertical="center"/>
    </xf>
    <xf numFmtId="49" fontId="17" fillId="0" borderId="0" xfId="10" applyNumberFormat="1" applyFont="1" applyAlignment="1">
      <alignment horizontal="center" vertical="center"/>
    </xf>
    <xf numFmtId="164" fontId="17" fillId="0" borderId="0" xfId="10" applyNumberFormat="1" applyFont="1">
      <alignment vertical="center"/>
    </xf>
    <xf numFmtId="164" fontId="17" fillId="0" borderId="0" xfId="10" applyFont="1" applyFill="1">
      <alignment vertical="center"/>
    </xf>
    <xf numFmtId="49" fontId="17" fillId="0" borderId="0" xfId="10" applyNumberFormat="1" applyFont="1" applyAlignment="1">
      <alignment vertical="top" wrapText="1"/>
    </xf>
    <xf numFmtId="49" fontId="17" fillId="4" borderId="0" xfId="10" applyNumberFormat="1" applyFont="1" applyFill="1">
      <alignment vertical="center"/>
    </xf>
    <xf numFmtId="49" fontId="17" fillId="5" borderId="0" xfId="10" applyNumberFormat="1" applyFont="1" applyFill="1" applyAlignment="1">
      <alignment horizontal="center" vertical="center"/>
    </xf>
    <xf numFmtId="49" fontId="17" fillId="5" borderId="0" xfId="10" applyNumberFormat="1" applyFont="1" applyFill="1">
      <alignment vertical="center"/>
    </xf>
    <xf numFmtId="49" fontId="17" fillId="0" borderId="0" xfId="10" applyNumberFormat="1" applyFont="1" applyFill="1">
      <alignment vertical="center"/>
    </xf>
    <xf numFmtId="164" fontId="17" fillId="0" borderId="0" xfId="10" applyFont="1" applyFill="1" applyAlignment="1">
      <alignment horizontal="center" vertical="center"/>
    </xf>
    <xf numFmtId="49" fontId="17" fillId="0" borderId="0" xfId="10" applyNumberFormat="1" applyFont="1" applyFill="1" applyAlignment="1">
      <alignment vertical="top" wrapText="1"/>
    </xf>
    <xf numFmtId="164" fontId="18" fillId="0" borderId="0" xfId="10" applyFont="1" applyFill="1">
      <alignment vertical="center"/>
    </xf>
    <xf numFmtId="49" fontId="18" fillId="0" borderId="0" xfId="10" applyNumberFormat="1" applyFont="1" applyAlignment="1">
      <alignment vertical="top" wrapText="1"/>
    </xf>
    <xf numFmtId="49" fontId="17" fillId="6" borderId="0" xfId="10" applyNumberFormat="1" applyFont="1" applyFill="1">
      <alignment vertical="center"/>
    </xf>
    <xf numFmtId="49" fontId="17" fillId="7" borderId="0" xfId="10" applyNumberFormat="1" applyFont="1" applyFill="1" applyAlignment="1">
      <alignment horizontal="center" vertical="center"/>
    </xf>
    <xf numFmtId="49" fontId="17" fillId="7" borderId="0" xfId="10" applyNumberFormat="1" applyFont="1" applyFill="1">
      <alignment vertical="center"/>
    </xf>
    <xf numFmtId="164" fontId="17" fillId="11" borderId="0" xfId="10" applyFont="1" applyFill="1" applyAlignment="1">
      <alignment horizontal="center" vertical="center"/>
    </xf>
    <xf numFmtId="49" fontId="16" fillId="2" borderId="0" xfId="10" applyNumberFormat="1" applyFont="1" applyFill="1">
      <alignment vertical="center"/>
    </xf>
    <xf numFmtId="49" fontId="17" fillId="8" borderId="0" xfId="10" applyNumberFormat="1" applyFont="1" applyFill="1">
      <alignment vertical="center"/>
    </xf>
    <xf numFmtId="49" fontId="40" fillId="9" borderId="0" xfId="10" applyNumberFormat="1" applyFont="1" applyFill="1" applyAlignment="1">
      <alignment horizontal="center" vertical="center"/>
    </xf>
    <xf numFmtId="49" fontId="40" fillId="9" borderId="0" xfId="10" applyNumberFormat="1" applyFont="1" applyFill="1">
      <alignment vertical="center"/>
    </xf>
    <xf numFmtId="49" fontId="17" fillId="0" borderId="1" xfId="10" applyNumberFormat="1" applyFont="1" applyBorder="1" applyAlignment="1">
      <alignment vertical="top" wrapText="1"/>
    </xf>
    <xf numFmtId="164" fontId="17" fillId="0" borderId="0" xfId="10" applyNumberFormat="1" applyFont="1" applyAlignment="1">
      <alignment horizontal="center" vertical="center"/>
    </xf>
    <xf numFmtId="164" fontId="17" fillId="0" borderId="0" xfId="10" applyNumberFormat="1" applyFont="1" applyFill="1" applyAlignment="1">
      <alignment horizontal="center" vertical="center"/>
    </xf>
    <xf numFmtId="49" fontId="17" fillId="0" borderId="1" xfId="10" applyNumberFormat="1" applyFont="1" applyFill="1" applyBorder="1" applyAlignment="1">
      <alignment vertical="top" wrapText="1"/>
    </xf>
    <xf numFmtId="165" fontId="33" fillId="3" borderId="2" xfId="12" applyNumberFormat="1" applyFont="1" applyFill="1" applyBorder="1" applyAlignment="1">
      <alignment horizontal="center" wrapText="1"/>
    </xf>
    <xf numFmtId="49" fontId="33" fillId="3" borderId="2" xfId="13" applyNumberFormat="1" applyFont="1" applyFill="1" applyBorder="1" applyAlignment="1">
      <alignment horizontal="center" wrapText="1"/>
    </xf>
    <xf numFmtId="49" fontId="33" fillId="3" borderId="2" xfId="14" applyNumberFormat="1" applyFont="1" applyFill="1" applyBorder="1" applyAlignment="1">
      <alignment horizontal="center" wrapText="1"/>
    </xf>
    <xf numFmtId="49" fontId="33" fillId="10" borderId="2" xfId="14" applyNumberFormat="1" applyFont="1" applyFill="1" applyBorder="1" applyAlignment="1">
      <alignment horizontal="center" wrapText="1"/>
    </xf>
    <xf numFmtId="164" fontId="33" fillId="10" borderId="2" xfId="14" applyNumberFormat="1" applyFont="1" applyFill="1" applyBorder="1" applyAlignment="1">
      <alignment horizontal="center" wrapText="1"/>
    </xf>
    <xf numFmtId="165" fontId="33" fillId="3" borderId="2" xfId="13" applyNumberFormat="1" applyFont="1" applyFill="1" applyBorder="1" applyAlignment="1">
      <alignment horizontal="center" wrapText="1"/>
    </xf>
    <xf numFmtId="170" fontId="33" fillId="3" borderId="2" xfId="13" applyNumberFormat="1" applyFont="1" applyFill="1" applyBorder="1" applyAlignment="1">
      <alignment horizontal="center" vertical="center" wrapText="1"/>
    </xf>
    <xf numFmtId="164" fontId="33" fillId="3" borderId="2" xfId="14" applyFont="1" applyFill="1" applyBorder="1" applyAlignment="1">
      <alignment horizontal="center" wrapText="1"/>
    </xf>
    <xf numFmtId="165" fontId="33" fillId="3" borderId="0" xfId="13" applyNumberFormat="1" applyFont="1" applyFill="1" applyBorder="1" applyAlignment="1">
      <alignment horizontal="center" wrapText="1"/>
    </xf>
    <xf numFmtId="165" fontId="33" fillId="3" borderId="3" xfId="13" applyNumberFormat="1" applyFont="1" applyFill="1" applyBorder="1" applyAlignment="1">
      <alignment horizontal="center" wrapText="1"/>
    </xf>
    <xf numFmtId="0" fontId="17" fillId="2" borderId="4" xfId="10" applyNumberFormat="1" applyFont="1" applyFill="1" applyBorder="1">
      <alignment vertical="center"/>
    </xf>
    <xf numFmtId="2" fontId="17" fillId="2" borderId="4" xfId="10" applyNumberFormat="1" applyFont="1" applyFill="1" applyBorder="1" applyAlignment="1">
      <alignment horizontal="center" vertical="center"/>
    </xf>
    <xf numFmtId="164" fontId="17" fillId="2" borderId="6" xfId="10" applyFont="1" applyFill="1" applyBorder="1">
      <alignment vertical="center"/>
    </xf>
    <xf numFmtId="1" fontId="17" fillId="2" borderId="6" xfId="10" applyNumberFormat="1" applyFont="1" applyFill="1" applyBorder="1">
      <alignment vertical="center"/>
    </xf>
    <xf numFmtId="49" fontId="17" fillId="2" borderId="6" xfId="10" applyNumberFormat="1" applyFont="1" applyFill="1" applyBorder="1">
      <alignment vertical="center"/>
    </xf>
    <xf numFmtId="164" fontId="17" fillId="2" borderId="6" xfId="10" applyFont="1" applyFill="1" applyBorder="1" applyAlignment="1">
      <alignment horizontal="center" vertical="center"/>
    </xf>
    <xf numFmtId="0" fontId="17" fillId="2" borderId="6" xfId="10" applyNumberFormat="1" applyFont="1" applyFill="1" applyBorder="1">
      <alignment vertical="center"/>
    </xf>
    <xf numFmtId="170" fontId="17" fillId="2" borderId="6" xfId="10" applyNumberFormat="1" applyFont="1" applyFill="1" applyBorder="1">
      <alignment vertical="center"/>
    </xf>
    <xf numFmtId="49" fontId="17" fillId="2" borderId="6" xfId="10" applyNumberFormat="1" applyFont="1" applyFill="1" applyBorder="1" applyAlignment="1">
      <alignment horizontal="center" vertical="center"/>
    </xf>
    <xf numFmtId="164" fontId="17" fillId="2" borderId="6" xfId="10" applyNumberFormat="1" applyFont="1" applyFill="1" applyBorder="1">
      <alignment vertical="center"/>
    </xf>
    <xf numFmtId="2" fontId="17" fillId="0" borderId="0" xfId="10" applyNumberFormat="1" applyFont="1">
      <alignment vertical="center"/>
    </xf>
    <xf numFmtId="164" fontId="19" fillId="2" borderId="0" xfId="0" applyFont="1" applyFill="1">
      <alignment vertical="center"/>
    </xf>
    <xf numFmtId="164" fontId="18" fillId="2" borderId="0" xfId="10" applyFont="1" applyFill="1">
      <alignment vertical="center"/>
    </xf>
    <xf numFmtId="164" fontId="18" fillId="2" borderId="0" xfId="10" applyFont="1" applyFill="1" applyAlignment="1">
      <alignment horizontal="center" vertical="center"/>
    </xf>
    <xf numFmtId="164" fontId="17" fillId="2" borderId="0" xfId="10" applyFont="1" applyFill="1" applyAlignment="1">
      <alignment horizontal="center" vertical="center"/>
    </xf>
    <xf numFmtId="164" fontId="17" fillId="2" borderId="0" xfId="10" applyFont="1" applyFill="1">
      <alignment vertical="center"/>
    </xf>
    <xf numFmtId="49" fontId="17" fillId="2" borderId="0" xfId="10" applyNumberFormat="1" applyFont="1" applyFill="1">
      <alignment vertical="center"/>
    </xf>
    <xf numFmtId="49" fontId="17" fillId="2" borderId="0" xfId="10" applyNumberFormat="1" applyFont="1" applyFill="1" applyAlignment="1">
      <alignment horizontal="center" vertical="center"/>
    </xf>
    <xf numFmtId="170" fontId="17" fillId="2" borderId="0" xfId="10" applyNumberFormat="1" applyFont="1" applyFill="1" applyAlignment="1">
      <alignment horizontal="center" vertical="center"/>
    </xf>
    <xf numFmtId="49" fontId="17" fillId="2" borderId="0" xfId="10" applyNumberFormat="1" applyFont="1" applyFill="1" applyAlignment="1">
      <alignment horizontal="left" vertical="center"/>
    </xf>
    <xf numFmtId="164" fontId="17" fillId="2" borderId="0" xfId="10" applyNumberFormat="1" applyFont="1" applyFill="1">
      <alignment vertical="center"/>
    </xf>
    <xf numFmtId="49" fontId="17" fillId="2" borderId="0" xfId="10" applyNumberFormat="1" applyFont="1" applyFill="1" applyAlignment="1">
      <alignment vertical="top" wrapText="1"/>
    </xf>
    <xf numFmtId="164" fontId="17" fillId="2" borderId="0" xfId="10" applyFont="1" applyFill="1" applyAlignment="1">
      <alignment horizontal="left" vertical="center"/>
    </xf>
    <xf numFmtId="49" fontId="17" fillId="2" borderId="0" xfId="10" applyNumberFormat="1" applyFont="1" applyFill="1" applyAlignment="1">
      <alignment horizontal="center" vertical="top" wrapText="1"/>
    </xf>
    <xf numFmtId="49" fontId="18" fillId="2" borderId="0" xfId="10" applyNumberFormat="1" applyFont="1" applyFill="1" applyAlignment="1">
      <alignment vertical="top" wrapText="1"/>
    </xf>
    <xf numFmtId="49" fontId="40" fillId="2" borderId="0" xfId="10" applyNumberFormat="1" applyFont="1" applyFill="1" applyAlignment="1">
      <alignment horizontal="center" vertical="center"/>
    </xf>
    <xf numFmtId="49" fontId="17" fillId="2" borderId="1" xfId="10" applyNumberFormat="1" applyFont="1" applyFill="1" applyBorder="1" applyAlignment="1">
      <alignment vertical="top" wrapText="1"/>
    </xf>
    <xf numFmtId="164" fontId="17" fillId="2" borderId="0" xfId="10" applyNumberFormat="1" applyFont="1" applyFill="1" applyAlignment="1">
      <alignment horizontal="center" vertical="center"/>
    </xf>
    <xf numFmtId="49" fontId="17" fillId="2" borderId="1" xfId="10" applyNumberFormat="1" applyFont="1" applyFill="1" applyBorder="1" applyAlignment="1">
      <alignment horizontal="center" vertical="top" wrapText="1"/>
    </xf>
    <xf numFmtId="1" fontId="17" fillId="2" borderId="4" xfId="10" applyNumberFormat="1" applyFont="1" applyFill="1" applyBorder="1" applyAlignment="1">
      <alignment horizontal="center" vertical="center"/>
    </xf>
    <xf numFmtId="164" fontId="17" fillId="2" borderId="4" xfId="10" applyNumberFormat="1" applyFont="1" applyFill="1" applyBorder="1" applyAlignment="1">
      <alignment horizontal="center" vertical="center"/>
    </xf>
    <xf numFmtId="168" fontId="17" fillId="2" borderId="4" xfId="10" applyNumberFormat="1" applyFont="1" applyFill="1" applyBorder="1" applyAlignment="1">
      <alignment horizontal="center" vertical="center"/>
    </xf>
    <xf numFmtId="164" fontId="17" fillId="2" borderId="0" xfId="0" applyFont="1" applyFill="1" applyAlignment="1">
      <alignment horizontal="center" vertical="center"/>
    </xf>
    <xf numFmtId="164" fontId="41" fillId="2" borderId="0" xfId="0" applyFont="1" applyFill="1" applyAlignment="1">
      <alignment horizontal="left" vertical="center"/>
    </xf>
    <xf numFmtId="170" fontId="27" fillId="2" borderId="5" xfId="10" applyNumberFormat="1" applyFont="1" applyFill="1" applyBorder="1" applyAlignment="1">
      <alignment horizontal="center" vertical="center" wrapText="1"/>
    </xf>
    <xf numFmtId="170" fontId="17" fillId="2" borderId="5" xfId="10" applyNumberFormat="1" applyFont="1" applyFill="1" applyBorder="1" applyAlignment="1">
      <alignment horizontal="center" vertical="center" wrapText="1"/>
    </xf>
    <xf numFmtId="164" fontId="17" fillId="2" borderId="4" xfId="10" applyNumberFormat="1" applyFont="1" applyFill="1" applyBorder="1" applyAlignment="1">
      <alignment horizontal="left" vertical="center"/>
    </xf>
    <xf numFmtId="0" fontId="17" fillId="2" borderId="4" xfId="10" applyNumberFormat="1" applyFont="1" applyFill="1" applyBorder="1" applyAlignment="1">
      <alignment vertical="center"/>
    </xf>
    <xf numFmtId="1" fontId="17" fillId="2" borderId="5" xfId="10" applyNumberFormat="1" applyFont="1" applyFill="1" applyBorder="1" applyAlignment="1">
      <alignment horizontal="center" vertical="center"/>
    </xf>
    <xf numFmtId="170" fontId="17" fillId="2" borderId="6" xfId="10" applyNumberFormat="1" applyFont="1" applyFill="1" applyBorder="1" applyAlignment="1">
      <alignment horizontal="center" vertical="center"/>
    </xf>
    <xf numFmtId="164" fontId="17" fillId="2" borderId="0" xfId="10" applyFont="1" applyFill="1" applyBorder="1">
      <alignment vertical="center"/>
    </xf>
    <xf numFmtId="1" fontId="17" fillId="2" borderId="0" xfId="10" applyNumberFormat="1" applyFont="1" applyFill="1" applyBorder="1" applyAlignment="1">
      <alignment horizontal="center" vertical="center"/>
    </xf>
    <xf numFmtId="0" fontId="17" fillId="2" borderId="0" xfId="10" applyNumberFormat="1" applyFont="1" applyFill="1" applyBorder="1">
      <alignment vertical="center"/>
    </xf>
    <xf numFmtId="0" fontId="17" fillId="2" borderId="0" xfId="10" applyNumberFormat="1" applyFont="1" applyFill="1" applyBorder="1" applyAlignment="1">
      <alignment horizontal="center" vertical="center"/>
    </xf>
    <xf numFmtId="170" fontId="17" fillId="2" borderId="0" xfId="10" applyNumberFormat="1" applyFont="1" applyFill="1" applyBorder="1" applyAlignment="1">
      <alignment horizontal="center" vertical="center"/>
    </xf>
    <xf numFmtId="2" fontId="17" fillId="2" borderId="0" xfId="10" applyNumberFormat="1" applyFont="1" applyFill="1">
      <alignment vertical="center"/>
    </xf>
    <xf numFmtId="0" fontId="17" fillId="2" borderId="0" xfId="10" applyNumberFormat="1" applyFont="1" applyFill="1" applyAlignment="1">
      <alignment horizontal="center" vertical="center"/>
    </xf>
    <xf numFmtId="170" fontId="16" fillId="2" borderId="6" xfId="12" applyNumberFormat="1" applyFont="1" applyFill="1" applyBorder="1" applyAlignment="1">
      <alignment horizontal="center" vertical="center" wrapText="1"/>
    </xf>
    <xf numFmtId="164" fontId="34" fillId="2" borderId="5" xfId="10" applyFont="1" applyFill="1" applyBorder="1" applyAlignment="1">
      <alignment horizontal="left" vertical="center"/>
    </xf>
    <xf numFmtId="1" fontId="34" fillId="2" borderId="5" xfId="10" applyNumberFormat="1" applyFont="1" applyFill="1" applyBorder="1" applyAlignment="1">
      <alignment horizontal="left" vertical="center"/>
    </xf>
    <xf numFmtId="49" fontId="34" fillId="2" borderId="5" xfId="10" applyNumberFormat="1" applyFont="1" applyFill="1" applyBorder="1" applyAlignment="1">
      <alignment horizontal="left" vertical="center"/>
    </xf>
    <xf numFmtId="0" fontId="34" fillId="2" borderId="5" xfId="10" applyNumberFormat="1" applyFont="1" applyFill="1" applyBorder="1" applyAlignment="1">
      <alignment horizontal="left" vertical="center"/>
    </xf>
    <xf numFmtId="0" fontId="34" fillId="2" borderId="5" xfId="10" applyNumberFormat="1" applyFont="1" applyFill="1" applyBorder="1" applyAlignment="1">
      <alignment horizontal="center" vertical="center"/>
    </xf>
    <xf numFmtId="170" fontId="34" fillId="2" borderId="5" xfId="10" applyNumberFormat="1" applyFont="1" applyFill="1" applyBorder="1" applyAlignment="1">
      <alignment horizontal="left" vertical="center"/>
    </xf>
    <xf numFmtId="164" fontId="34" fillId="2" borderId="5" xfId="10" applyNumberFormat="1" applyFont="1" applyFill="1" applyBorder="1" applyAlignment="1">
      <alignment horizontal="left" vertical="center"/>
    </xf>
    <xf numFmtId="164" fontId="34" fillId="2" borderId="5" xfId="10" applyFont="1" applyFill="1" applyBorder="1" applyAlignment="1">
      <alignment horizontal="right" vertical="center"/>
    </xf>
    <xf numFmtId="164" fontId="34" fillId="2" borderId="0" xfId="0" applyFont="1" applyFill="1">
      <alignment vertical="center"/>
    </xf>
    <xf numFmtId="1" fontId="15" fillId="2" borderId="5" xfId="10" applyNumberFormat="1" applyFont="1" applyFill="1" applyBorder="1" applyAlignment="1">
      <alignment horizontal="left" vertical="center"/>
    </xf>
    <xf numFmtId="1" fontId="15" fillId="2" borderId="5" xfId="10" applyNumberFormat="1" applyFont="1" applyFill="1" applyBorder="1" applyAlignment="1">
      <alignment horizontal="center" vertical="center"/>
    </xf>
    <xf numFmtId="170" fontId="15" fillId="2" borderId="5" xfId="10" applyNumberFormat="1" applyFont="1" applyFill="1" applyBorder="1" applyAlignment="1">
      <alignment horizontal="center" vertical="center"/>
    </xf>
    <xf numFmtId="164" fontId="15" fillId="2" borderId="5" xfId="0" applyFont="1" applyFill="1" applyBorder="1">
      <alignment vertical="center"/>
    </xf>
    <xf numFmtId="164" fontId="17" fillId="5" borderId="5" xfId="10" applyFont="1" applyFill="1" applyBorder="1">
      <alignment vertical="center"/>
    </xf>
    <xf numFmtId="1" fontId="17" fillId="5" borderId="5" xfId="10" applyNumberFormat="1" applyFont="1" applyFill="1" applyBorder="1" applyAlignment="1">
      <alignment horizontal="left" vertical="center"/>
    </xf>
    <xf numFmtId="164" fontId="17" fillId="5" borderId="5" xfId="10" applyFont="1" applyFill="1" applyBorder="1" applyAlignment="1">
      <alignment horizontal="center" vertical="center"/>
    </xf>
    <xf numFmtId="49" fontId="17" fillId="5" borderId="5" xfId="10" applyNumberFormat="1" applyFont="1" applyFill="1" applyBorder="1" applyAlignment="1">
      <alignment horizontal="left" vertical="center"/>
    </xf>
    <xf numFmtId="49" fontId="17" fillId="5" borderId="5" xfId="10" applyNumberFormat="1" applyFont="1" applyFill="1" applyBorder="1">
      <alignment vertical="center"/>
    </xf>
    <xf numFmtId="0" fontId="17" fillId="5" borderId="5" xfId="10" applyNumberFormat="1" applyFont="1" applyFill="1" applyBorder="1">
      <alignment vertical="center"/>
    </xf>
    <xf numFmtId="0" fontId="17" fillId="5" borderId="5" xfId="10" applyNumberFormat="1" applyFont="1" applyFill="1" applyBorder="1" applyAlignment="1">
      <alignment horizontal="center" vertical="center"/>
    </xf>
    <xf numFmtId="170" fontId="17" fillId="5" borderId="5" xfId="10" applyNumberFormat="1" applyFont="1" applyFill="1" applyBorder="1" applyAlignment="1">
      <alignment horizontal="center" vertical="center"/>
    </xf>
    <xf numFmtId="49" fontId="16" fillId="5" borderId="6" xfId="12" applyNumberFormat="1" applyFont="1" applyFill="1" applyBorder="1" applyAlignment="1">
      <alignment horizontal="center" wrapText="1"/>
    </xf>
    <xf numFmtId="164" fontId="17" fillId="5" borderId="5" xfId="10" applyNumberFormat="1" applyFont="1" applyFill="1" applyBorder="1">
      <alignment vertical="center"/>
    </xf>
    <xf numFmtId="164" fontId="17" fillId="5" borderId="0" xfId="0" applyFont="1" applyFill="1">
      <alignment vertical="center"/>
    </xf>
    <xf numFmtId="170" fontId="17" fillId="5" borderId="5" xfId="10" applyNumberFormat="1" applyFont="1" applyFill="1" applyBorder="1" applyAlignment="1">
      <alignment horizontal="center" vertical="center" wrapText="1"/>
    </xf>
    <xf numFmtId="164" fontId="7" fillId="0" borderId="0" xfId="10" applyFont="1" applyAlignment="1">
      <alignment horizontal="left" vertical="center" wrapText="1"/>
    </xf>
    <xf numFmtId="164" fontId="18" fillId="2" borderId="0" xfId="10" applyFont="1" applyFill="1" applyAlignment="1">
      <alignment horizontal="left" vertical="center" wrapText="1"/>
    </xf>
    <xf numFmtId="14" fontId="27" fillId="2" borderId="7" xfId="10" applyNumberFormat="1" applyFont="1" applyFill="1" applyBorder="1" applyAlignment="1">
      <alignment horizontal="center" vertical="center"/>
    </xf>
    <xf numFmtId="14" fontId="27" fillId="2" borderId="0" xfId="10" applyNumberFormat="1" applyFont="1" applyFill="1" applyBorder="1" applyAlignment="1">
      <alignment horizontal="center" vertical="center"/>
    </xf>
    <xf numFmtId="164" fontId="18" fillId="0" borderId="0" xfId="10" applyFont="1" applyAlignment="1">
      <alignment horizontal="left" vertical="center" wrapText="1"/>
    </xf>
    <xf numFmtId="164" fontId="21" fillId="0" borderId="0" xfId="10" applyFont="1" applyAlignment="1">
      <alignment horizontal="left" vertical="center" wrapText="1"/>
    </xf>
    <xf numFmtId="164" fontId="17" fillId="5" borderId="4" xfId="10" applyFont="1" applyFill="1" applyBorder="1" applyAlignment="1">
      <alignment horizontal="center" vertical="center"/>
    </xf>
    <xf numFmtId="164" fontId="16" fillId="5" borderId="4" xfId="10" applyFont="1" applyFill="1" applyBorder="1" applyAlignment="1">
      <alignment horizontal="center" vertical="center"/>
    </xf>
  </cellXfs>
  <cellStyles count="17">
    <cellStyle name="Comma" xfId="16" builtinId="3"/>
    <cellStyle name="Normal" xfId="0" builtinId="0"/>
    <cellStyle name="Normal 2" xfId="1"/>
    <cellStyle name="Normal 2 2" xfId="2"/>
    <cellStyle name="Normal 3" xfId="3"/>
    <cellStyle name="Normal 4" xfId="15"/>
    <cellStyle name="Normal 6" xfId="4"/>
    <cellStyle name="常规 2" xfId="5"/>
    <cellStyle name="常规 2 2" xfId="6"/>
    <cellStyle name="常规 2 2 2" xfId="7"/>
    <cellStyle name="常规 2 3" xfId="8"/>
    <cellStyle name="常规 3" xfId="9"/>
    <cellStyle name="常规 4" xfId="10"/>
    <cellStyle name="常规 5" xfId="11"/>
    <cellStyle name="常规_575251 #55464" xfId="12"/>
    <cellStyle name="常规_575258 #55318" xfId="13"/>
    <cellStyle name="常规_Sheet1_1 2" xfId="14"/>
  </cellStyles>
  <dxfs count="0"/>
  <tableStyles count="0" defaultTableStyle="TableStyleMedium2" defaultPivotStyle="PivotStyleLight16"/>
  <colors>
    <mruColors>
      <color rgb="FF330BC5"/>
      <color rgb="FFFF0000"/>
      <color rgb="FF00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848264</xdr:colOff>
      <xdr:row>4</xdr:row>
      <xdr:rowOff>131940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F4E52EC-933C-4B75-8468-C19016C2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0415" y="201283"/>
          <a:ext cx="2156604" cy="1727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7</xdr:col>
      <xdr:colOff>661358</xdr:colOff>
      <xdr:row>4</xdr:row>
      <xdr:rowOff>87918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3962" y="201283"/>
          <a:ext cx="2803585" cy="1683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905774</xdr:colOff>
      <xdr:row>0</xdr:row>
      <xdr:rowOff>0</xdr:rowOff>
    </xdr:from>
    <xdr:to>
      <xdr:col>7</xdr:col>
      <xdr:colOff>231</xdr:colOff>
      <xdr:row>4</xdr:row>
      <xdr:rowOff>73333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6264" y="0"/>
          <a:ext cx="3588034" cy="1922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158151</xdr:colOff>
      <xdr:row>0</xdr:row>
      <xdr:rowOff>115019</xdr:rowOff>
    </xdr:from>
    <xdr:to>
      <xdr:col>7</xdr:col>
      <xdr:colOff>137612</xdr:colOff>
      <xdr:row>3</xdr:row>
      <xdr:rowOff>910035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321" y="115019"/>
          <a:ext cx="3142479" cy="1676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258794</xdr:colOff>
      <xdr:row>0</xdr:row>
      <xdr:rowOff>57509</xdr:rowOff>
    </xdr:from>
    <xdr:to>
      <xdr:col>7</xdr:col>
      <xdr:colOff>546339</xdr:colOff>
      <xdr:row>4</xdr:row>
      <xdr:rowOff>83289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0642" y="57509"/>
          <a:ext cx="3536830" cy="1889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230041</xdr:colOff>
      <xdr:row>0</xdr:row>
      <xdr:rowOff>1</xdr:rowOff>
    </xdr:from>
    <xdr:to>
      <xdr:col>7</xdr:col>
      <xdr:colOff>86264</xdr:colOff>
      <xdr:row>4</xdr:row>
      <xdr:rowOff>154349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291" y="1"/>
          <a:ext cx="3402638" cy="1964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362431</xdr:colOff>
      <xdr:row>0</xdr:row>
      <xdr:rowOff>0</xdr:rowOff>
    </xdr:from>
    <xdr:to>
      <xdr:col>7</xdr:col>
      <xdr:colOff>218656</xdr:colOff>
      <xdr:row>4</xdr:row>
      <xdr:rowOff>144446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4681" y="0"/>
          <a:ext cx="3445772" cy="1954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>
            <a:noFill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D10"/>
  <sheetViews>
    <sheetView view="pageBreakPreview" topLeftCell="C1" zoomScale="60" zoomScaleNormal="60" workbookViewId="0">
      <selection activeCell="W16" sqref="W16"/>
    </sheetView>
  </sheetViews>
  <sheetFormatPr defaultColWidth="9" defaultRowHeight="14.25"/>
  <cols>
    <col min="1" max="1" width="16.140625" style="17" customWidth="1"/>
    <col min="2" max="2" width="16" style="17" customWidth="1"/>
    <col min="3" max="3" width="17" style="17" customWidth="1"/>
    <col min="4" max="4" width="15.85546875" style="62" customWidth="1"/>
    <col min="5" max="5" width="14.85546875" style="17" customWidth="1"/>
    <col min="6" max="6" width="12.140625" style="17" customWidth="1"/>
    <col min="7" max="7" width="18.85546875" style="17" customWidth="1"/>
    <col min="8" max="9" width="14.28515625" style="63" customWidth="1"/>
    <col min="10" max="10" width="11.140625" style="63" customWidth="1"/>
    <col min="11" max="11" width="9" style="63" customWidth="1"/>
    <col min="12" max="12" width="10.85546875" style="63" customWidth="1"/>
    <col min="13" max="14" width="9" style="63" customWidth="1"/>
    <col min="15" max="15" width="11.5703125" style="63" customWidth="1"/>
    <col min="16" max="16" width="15.140625" style="15" customWidth="1"/>
    <col min="17" max="17" width="15.85546875" style="63" customWidth="1"/>
    <col min="18" max="18" width="17.42578125" style="63" customWidth="1"/>
    <col min="19" max="19" width="23.28515625" style="63" customWidth="1"/>
    <col min="20" max="20" width="23.7109375" style="63" customWidth="1"/>
    <col min="21" max="21" width="13" style="15" customWidth="1"/>
    <col min="22" max="22" width="26" style="15" customWidth="1"/>
    <col min="23" max="23" width="12.5703125" style="63" customWidth="1"/>
    <col min="24" max="24" width="28" style="16" customWidth="1"/>
    <col min="25" max="25" width="18.28515625" style="17" customWidth="1"/>
    <col min="26" max="26" width="14.85546875" style="17" customWidth="1"/>
    <col min="27" max="27" width="18.85546875" style="64" customWidth="1"/>
    <col min="28" max="28" width="16.28515625" style="64" customWidth="1"/>
    <col min="29" max="29" width="16.7109375" style="64" customWidth="1"/>
    <col min="30" max="16384" width="9" style="8"/>
  </cols>
  <sheetData>
    <row r="1" spans="1:30" ht="15.75">
      <c r="A1" s="1" t="s">
        <v>337</v>
      </c>
      <c r="B1" s="1"/>
      <c r="C1" s="1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4"/>
      <c r="U1" s="5"/>
      <c r="V1" s="5"/>
      <c r="W1" s="4"/>
      <c r="X1" s="6"/>
      <c r="Y1" s="3"/>
      <c r="Z1" s="3"/>
      <c r="AA1" s="7"/>
      <c r="AB1" s="7"/>
      <c r="AC1" s="7"/>
    </row>
    <row r="2" spans="1:30" ht="25.5" customHeight="1">
      <c r="A2" s="381" t="s">
        <v>308</v>
      </c>
      <c r="B2" s="381"/>
      <c r="C2" s="381"/>
      <c r="D2" s="381"/>
      <c r="E2" s="9"/>
      <c r="F2" s="9"/>
      <c r="G2" s="9"/>
      <c r="H2" s="4"/>
      <c r="I2" s="4"/>
      <c r="J2" s="4"/>
      <c r="K2" s="4"/>
      <c r="L2" s="4"/>
      <c r="M2" s="4"/>
      <c r="N2" s="4"/>
      <c r="O2" s="4"/>
      <c r="P2" s="11"/>
      <c r="Q2" s="12"/>
      <c r="R2" s="4" t="s">
        <v>339</v>
      </c>
      <c r="S2" s="13"/>
      <c r="T2" s="13"/>
      <c r="U2" s="14" t="s">
        <v>340</v>
      </c>
      <c r="W2" s="3"/>
      <c r="AA2" s="18"/>
      <c r="AB2" s="18"/>
      <c r="AC2" s="18"/>
    </row>
    <row r="3" spans="1:30" ht="25.5" customHeight="1">
      <c r="A3" s="19" t="s">
        <v>309</v>
      </c>
      <c r="B3" s="19"/>
      <c r="C3" s="19"/>
      <c r="D3" s="2"/>
      <c r="E3" s="9"/>
      <c r="F3" s="20"/>
      <c r="G3" s="9"/>
      <c r="H3" s="4"/>
      <c r="I3" s="4"/>
      <c r="J3" s="4"/>
      <c r="K3" s="4"/>
      <c r="L3" s="4"/>
      <c r="M3" s="4"/>
      <c r="N3" s="4"/>
      <c r="O3" s="4"/>
      <c r="P3" s="22"/>
      <c r="Q3" s="23"/>
      <c r="R3" s="4" t="s">
        <v>342</v>
      </c>
      <c r="S3" s="13"/>
      <c r="T3" s="13"/>
      <c r="U3" s="24" t="s">
        <v>343</v>
      </c>
      <c r="W3" s="3"/>
      <c r="AA3" s="18"/>
      <c r="AB3" s="18"/>
      <c r="AC3" s="18"/>
    </row>
    <row r="4" spans="1:30" ht="75.75" customHeight="1">
      <c r="A4" s="381" t="s">
        <v>84</v>
      </c>
      <c r="B4" s="381"/>
      <c r="C4" s="381"/>
      <c r="D4" s="381"/>
      <c r="E4" s="9"/>
      <c r="F4" s="9"/>
      <c r="G4" s="9"/>
      <c r="H4" s="25"/>
      <c r="I4" s="25"/>
      <c r="J4" s="4"/>
      <c r="K4" s="4"/>
      <c r="L4" s="4"/>
      <c r="M4" s="4"/>
      <c r="N4" s="4"/>
      <c r="O4" s="4"/>
      <c r="P4" s="27"/>
      <c r="Q4" s="28"/>
      <c r="R4" s="4" t="s">
        <v>345</v>
      </c>
      <c r="S4" s="13"/>
      <c r="T4" s="13"/>
      <c r="U4" s="24" t="s">
        <v>346</v>
      </c>
      <c r="W4" s="3"/>
      <c r="AA4" s="18"/>
      <c r="AB4" s="18"/>
      <c r="AC4" s="18"/>
    </row>
    <row r="5" spans="1:30" ht="18.75" customHeight="1">
      <c r="A5" s="1" t="s">
        <v>310</v>
      </c>
      <c r="B5" s="1"/>
      <c r="C5" s="1"/>
      <c r="D5" s="2"/>
      <c r="E5" s="29"/>
      <c r="F5" s="29"/>
      <c r="G5" s="29"/>
      <c r="H5" s="4"/>
      <c r="I5" s="4"/>
      <c r="J5" s="4"/>
      <c r="K5" s="4"/>
      <c r="L5" s="4"/>
      <c r="M5" s="4"/>
      <c r="N5" s="4"/>
      <c r="O5" s="4"/>
      <c r="P5" s="30"/>
      <c r="Q5" s="6"/>
      <c r="R5" s="6"/>
      <c r="S5" s="6"/>
      <c r="T5" s="6"/>
      <c r="U5" s="31" t="s">
        <v>348</v>
      </c>
      <c r="W5" s="3"/>
      <c r="AA5" s="32"/>
      <c r="AB5" s="32"/>
      <c r="AC5" s="32"/>
    </row>
    <row r="6" spans="1:30" ht="60.75" customHeight="1">
      <c r="A6" s="33" t="s">
        <v>349</v>
      </c>
      <c r="B6" s="33" t="s">
        <v>350</v>
      </c>
      <c r="C6" s="34" t="s">
        <v>351</v>
      </c>
      <c r="D6" s="34" t="s">
        <v>352</v>
      </c>
      <c r="E6" s="35" t="s">
        <v>353</v>
      </c>
      <c r="F6" s="35" t="s">
        <v>0</v>
      </c>
      <c r="G6" s="35" t="s">
        <v>354</v>
      </c>
      <c r="H6" s="35" t="s">
        <v>355</v>
      </c>
      <c r="I6" s="36" t="s">
        <v>78</v>
      </c>
      <c r="J6" s="37" t="s">
        <v>1</v>
      </c>
      <c r="K6" s="37" t="s">
        <v>2</v>
      </c>
      <c r="L6" s="37" t="s">
        <v>3</v>
      </c>
      <c r="M6" s="37" t="s">
        <v>4</v>
      </c>
      <c r="N6" s="37" t="s">
        <v>5</v>
      </c>
      <c r="O6" s="37" t="s">
        <v>6</v>
      </c>
      <c r="P6" s="37" t="s">
        <v>7</v>
      </c>
      <c r="Q6" s="37" t="s">
        <v>356</v>
      </c>
      <c r="R6" s="38" t="s">
        <v>357</v>
      </c>
      <c r="S6" s="38" t="s">
        <v>8</v>
      </c>
      <c r="T6" s="106" t="s">
        <v>367</v>
      </c>
      <c r="U6" s="38" t="s">
        <v>9</v>
      </c>
      <c r="V6" s="39" t="s">
        <v>358</v>
      </c>
      <c r="W6" s="38" t="s">
        <v>10</v>
      </c>
      <c r="X6" s="38" t="s">
        <v>11</v>
      </c>
      <c r="Y6" s="40" t="s">
        <v>359</v>
      </c>
      <c r="Z6" s="38" t="s">
        <v>360</v>
      </c>
      <c r="AA6" s="38" t="s">
        <v>12</v>
      </c>
      <c r="AB6" s="41" t="s">
        <v>237</v>
      </c>
      <c r="AC6" s="42" t="s">
        <v>361</v>
      </c>
    </row>
    <row r="7" spans="1:30" s="51" customFormat="1" ht="46.15" customHeight="1">
      <c r="A7" s="149" t="s">
        <v>16</v>
      </c>
      <c r="B7" s="154">
        <v>2512076</v>
      </c>
      <c r="C7" s="109" t="s">
        <v>307</v>
      </c>
      <c r="D7" s="150" t="s">
        <v>238</v>
      </c>
      <c r="E7" s="154">
        <v>714046</v>
      </c>
      <c r="F7" s="109" t="s">
        <v>18</v>
      </c>
      <c r="G7" s="149" t="s">
        <v>19</v>
      </c>
      <c r="H7" s="109" t="s">
        <v>88</v>
      </c>
      <c r="I7" s="151">
        <v>68</v>
      </c>
      <c r="J7" s="151">
        <v>238</v>
      </c>
      <c r="K7" s="151">
        <v>323</v>
      </c>
      <c r="L7" s="151">
        <v>272</v>
      </c>
      <c r="M7" s="151">
        <v>187</v>
      </c>
      <c r="N7" s="151">
        <v>102</v>
      </c>
      <c r="O7" s="109"/>
      <c r="P7" s="151">
        <f>SUM(I7:O7)</f>
        <v>1190</v>
      </c>
      <c r="Q7" s="109"/>
      <c r="R7" s="155">
        <v>46137</v>
      </c>
      <c r="S7" s="156" t="s">
        <v>369</v>
      </c>
      <c r="T7" s="157" t="s">
        <v>368</v>
      </c>
      <c r="U7" s="109" t="s">
        <v>373</v>
      </c>
      <c r="V7" s="109" t="s">
        <v>371</v>
      </c>
      <c r="W7" s="149" t="s">
        <v>239</v>
      </c>
      <c r="X7" s="149" t="s">
        <v>239</v>
      </c>
      <c r="Y7" s="150" t="s">
        <v>244</v>
      </c>
      <c r="Z7" s="149" t="s">
        <v>241</v>
      </c>
      <c r="AA7" s="43" t="s">
        <v>240</v>
      </c>
      <c r="AB7" s="69" t="s">
        <v>89</v>
      </c>
      <c r="AC7" s="149">
        <v>46006</v>
      </c>
      <c r="AD7" s="158" t="s">
        <v>370</v>
      </c>
    </row>
    <row r="8" spans="1:30" s="51" customFormat="1" ht="46.15" customHeight="1">
      <c r="A8" s="149" t="s">
        <v>16</v>
      </c>
      <c r="B8" s="154">
        <v>2512076</v>
      </c>
      <c r="C8" s="109" t="s">
        <v>307</v>
      </c>
      <c r="D8" s="150" t="s">
        <v>238</v>
      </c>
      <c r="E8" s="154">
        <v>714046</v>
      </c>
      <c r="F8" s="109" t="s">
        <v>18</v>
      </c>
      <c r="G8" s="149" t="s">
        <v>19</v>
      </c>
      <c r="H8" s="109" t="s">
        <v>88</v>
      </c>
      <c r="I8" s="109"/>
      <c r="J8" s="109"/>
      <c r="K8" s="109"/>
      <c r="L8" s="109"/>
      <c r="M8" s="109"/>
      <c r="N8" s="151"/>
      <c r="O8" s="151">
        <v>51</v>
      </c>
      <c r="P8" s="157">
        <f>SUM(I8:O8)</f>
        <v>51</v>
      </c>
      <c r="Q8" s="151"/>
      <c r="R8" s="155">
        <v>46137</v>
      </c>
      <c r="S8" s="156" t="s">
        <v>369</v>
      </c>
      <c r="T8" s="157" t="s">
        <v>368</v>
      </c>
      <c r="U8" s="109" t="s">
        <v>373</v>
      </c>
      <c r="V8" s="109">
        <v>4900015510</v>
      </c>
      <c r="W8" s="149" t="s">
        <v>239</v>
      </c>
      <c r="X8" s="149" t="s">
        <v>239</v>
      </c>
      <c r="Y8" s="150" t="s">
        <v>244</v>
      </c>
      <c r="Z8" s="149" t="s">
        <v>241</v>
      </c>
      <c r="AA8" s="43" t="s">
        <v>240</v>
      </c>
      <c r="AB8" s="69" t="s">
        <v>89</v>
      </c>
      <c r="AC8" s="149">
        <v>46006</v>
      </c>
      <c r="AD8" s="158" t="s">
        <v>370</v>
      </c>
    </row>
    <row r="9" spans="1:30" ht="30.6" customHeight="1">
      <c r="AC9" s="65"/>
    </row>
    <row r="10" spans="1:30" ht="30.6" customHeight="1">
      <c r="P10" s="95"/>
      <c r="R10" s="96" t="s">
        <v>311</v>
      </c>
    </row>
  </sheetData>
  <mergeCells count="2">
    <mergeCell ref="A2:D2"/>
    <mergeCell ref="A4:D4"/>
  </mergeCells>
  <pageMargins left="0" right="0" top="0.39370078740157483" bottom="0.74803149606299213" header="0.31496062992125984" footer="0.31496062992125984"/>
  <pageSetup paperSize="9" scale="29" orientation="landscape" r:id="rId1"/>
  <headerFooter>
    <oddFooter>&amp;C第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B20"/>
  <sheetViews>
    <sheetView view="pageBreakPreview" zoomScale="60" zoomScaleNormal="60" workbookViewId="0">
      <selection activeCell="S18" sqref="S18"/>
    </sheetView>
  </sheetViews>
  <sheetFormatPr defaultColWidth="9" defaultRowHeight="14.25"/>
  <cols>
    <col min="1" max="1" width="16.140625" style="17" customWidth="1"/>
    <col min="2" max="2" width="16" style="17" customWidth="1"/>
    <col min="3" max="3" width="17" style="17" customWidth="1"/>
    <col min="4" max="4" width="15.85546875" style="62" customWidth="1"/>
    <col min="5" max="5" width="14.85546875" style="17" customWidth="1"/>
    <col min="6" max="6" width="12.140625" style="17" customWidth="1"/>
    <col min="7" max="7" width="18.85546875" style="17" customWidth="1"/>
    <col min="8" max="9" width="14.28515625" style="63" customWidth="1"/>
    <col min="10" max="10" width="11.140625" style="63" customWidth="1"/>
    <col min="11" max="11" width="9" style="63" customWidth="1"/>
    <col min="12" max="12" width="10.85546875" style="63" customWidth="1"/>
    <col min="13" max="13" width="9" style="63" customWidth="1"/>
    <col min="14" max="14" width="15.140625" style="15" customWidth="1"/>
    <col min="15" max="15" width="15.85546875" style="63" customWidth="1"/>
    <col min="16" max="16" width="20.28515625" style="182" customWidth="1"/>
    <col min="17" max="17" width="20.85546875" style="182" customWidth="1"/>
    <col min="18" max="18" width="16.5703125" style="63" customWidth="1"/>
    <col min="19" max="19" width="32.5703125" style="15" customWidth="1"/>
    <col min="20" max="20" width="26" style="15" customWidth="1"/>
    <col min="21" max="21" width="12.5703125" style="63" customWidth="1"/>
    <col min="22" max="22" width="12.5703125" style="16" customWidth="1"/>
    <col min="23" max="23" width="18.28515625" style="17" customWidth="1"/>
    <col min="24" max="24" width="23.85546875" style="17" customWidth="1"/>
    <col min="25" max="26" width="16.28515625" style="64" customWidth="1"/>
    <col min="27" max="27" width="16.7109375" style="64" customWidth="1"/>
    <col min="28" max="16384" width="9" style="8"/>
  </cols>
  <sheetData>
    <row r="1" spans="1:28" ht="15.75">
      <c r="A1" s="1" t="s">
        <v>337</v>
      </c>
      <c r="B1" s="1"/>
      <c r="C1" s="1"/>
      <c r="D1" s="2"/>
      <c r="E1" s="3"/>
      <c r="F1" s="3"/>
      <c r="G1" s="3"/>
      <c r="H1" s="4"/>
      <c r="I1" s="4"/>
      <c r="J1" s="4"/>
      <c r="K1" s="4"/>
      <c r="L1" s="4"/>
      <c r="M1" s="4"/>
      <c r="N1" s="5"/>
      <c r="O1" s="4"/>
      <c r="P1" s="179"/>
      <c r="Q1" s="179"/>
      <c r="R1" s="4"/>
      <c r="S1" s="5"/>
      <c r="T1" s="5"/>
      <c r="U1" s="4"/>
      <c r="V1" s="6"/>
      <c r="W1" s="3"/>
      <c r="X1" s="3"/>
      <c r="Y1" s="7"/>
      <c r="Z1" s="7"/>
      <c r="AA1" s="7"/>
    </row>
    <row r="2" spans="1:28" ht="25.5" customHeight="1">
      <c r="A2" s="381" t="s">
        <v>301</v>
      </c>
      <c r="B2" s="381"/>
      <c r="C2" s="381"/>
      <c r="D2" s="381"/>
      <c r="E2" s="9"/>
      <c r="F2" s="9"/>
      <c r="G2" s="9"/>
      <c r="H2" s="4"/>
      <c r="I2" s="4"/>
      <c r="J2" s="4"/>
      <c r="K2" s="4"/>
      <c r="L2" s="4"/>
      <c r="M2" s="4"/>
      <c r="N2" s="11"/>
      <c r="O2" s="12"/>
      <c r="P2" s="179" t="s">
        <v>339</v>
      </c>
      <c r="Q2" s="180"/>
      <c r="R2" s="13"/>
      <c r="S2" s="14" t="s">
        <v>340</v>
      </c>
      <c r="U2" s="3"/>
      <c r="Y2" s="18"/>
      <c r="Z2" s="18"/>
      <c r="AA2" s="18"/>
    </row>
    <row r="3" spans="1:28" ht="25.5" customHeight="1">
      <c r="A3" s="19" t="s">
        <v>302</v>
      </c>
      <c r="B3" s="19"/>
      <c r="C3" s="19"/>
      <c r="D3" s="2"/>
      <c r="E3" s="9"/>
      <c r="F3" s="20"/>
      <c r="G3" s="9"/>
      <c r="H3" s="4"/>
      <c r="I3" s="4"/>
      <c r="J3" s="4"/>
      <c r="K3" s="4"/>
      <c r="L3" s="4"/>
      <c r="M3" s="4"/>
      <c r="N3" s="22"/>
      <c r="O3" s="23"/>
      <c r="P3" s="179" t="s">
        <v>342</v>
      </c>
      <c r="Q3" s="180"/>
      <c r="R3" s="13"/>
      <c r="S3" s="24" t="s">
        <v>343</v>
      </c>
      <c r="U3" s="3"/>
      <c r="Y3" s="18"/>
      <c r="Z3" s="18"/>
      <c r="AA3" s="18"/>
    </row>
    <row r="4" spans="1:28" ht="75.75" customHeight="1">
      <c r="A4" s="381" t="s">
        <v>84</v>
      </c>
      <c r="B4" s="381"/>
      <c r="C4" s="381"/>
      <c r="D4" s="381"/>
      <c r="E4" s="9"/>
      <c r="F4" s="9"/>
      <c r="G4" s="9"/>
      <c r="H4" s="25"/>
      <c r="I4" s="25"/>
      <c r="J4" s="4"/>
      <c r="K4" s="4"/>
      <c r="L4" s="4"/>
      <c r="M4" s="4"/>
      <c r="N4" s="27"/>
      <c r="O4" s="28"/>
      <c r="P4" s="179" t="s">
        <v>345</v>
      </c>
      <c r="Q4" s="180"/>
      <c r="R4" s="13"/>
      <c r="S4" s="24" t="s">
        <v>346</v>
      </c>
      <c r="U4" s="3"/>
      <c r="Y4" s="18"/>
      <c r="Z4" s="18"/>
      <c r="AA4" s="18"/>
    </row>
    <row r="5" spans="1:28" ht="18.75" customHeight="1">
      <c r="A5" s="1" t="s">
        <v>303</v>
      </c>
      <c r="B5" s="1"/>
      <c r="C5" s="1"/>
      <c r="D5" s="2"/>
      <c r="E5" s="29"/>
      <c r="F5" s="29"/>
      <c r="G5" s="29"/>
      <c r="H5" s="4"/>
      <c r="I5" s="4"/>
      <c r="J5" s="4"/>
      <c r="K5" s="4"/>
      <c r="L5" s="4"/>
      <c r="M5" s="4"/>
      <c r="N5" s="30"/>
      <c r="O5" s="6"/>
      <c r="P5" s="179"/>
      <c r="Q5" s="179"/>
      <c r="R5" s="6"/>
      <c r="S5" s="31" t="s">
        <v>348</v>
      </c>
      <c r="U5" s="3"/>
      <c r="Y5" s="32"/>
      <c r="Z5" s="32"/>
      <c r="AA5" s="32"/>
    </row>
    <row r="6" spans="1:28" ht="60.75" customHeight="1">
      <c r="A6" s="33" t="s">
        <v>349</v>
      </c>
      <c r="B6" s="33" t="s">
        <v>350</v>
      </c>
      <c r="C6" s="34" t="s">
        <v>351</v>
      </c>
      <c r="D6" s="34" t="s">
        <v>352</v>
      </c>
      <c r="E6" s="35" t="s">
        <v>353</v>
      </c>
      <c r="F6" s="35" t="s">
        <v>0</v>
      </c>
      <c r="G6" s="35" t="s">
        <v>354</v>
      </c>
      <c r="H6" s="35" t="s">
        <v>355</v>
      </c>
      <c r="I6" s="36" t="s">
        <v>78</v>
      </c>
      <c r="J6" s="37" t="s">
        <v>1</v>
      </c>
      <c r="K6" s="37" t="s">
        <v>2</v>
      </c>
      <c r="L6" s="37" t="s">
        <v>3</v>
      </c>
      <c r="M6" s="37" t="s">
        <v>4</v>
      </c>
      <c r="N6" s="37" t="s">
        <v>7</v>
      </c>
      <c r="O6" s="37" t="s">
        <v>356</v>
      </c>
      <c r="P6" s="181" t="s">
        <v>357</v>
      </c>
      <c r="Q6" s="181" t="s">
        <v>8</v>
      </c>
      <c r="R6" s="106" t="s">
        <v>367</v>
      </c>
      <c r="S6" s="38" t="s">
        <v>9</v>
      </c>
      <c r="T6" s="39" t="s">
        <v>358</v>
      </c>
      <c r="U6" s="38" t="s">
        <v>10</v>
      </c>
      <c r="V6" s="38" t="s">
        <v>11</v>
      </c>
      <c r="W6" s="40" t="s">
        <v>359</v>
      </c>
      <c r="X6" s="38" t="s">
        <v>360</v>
      </c>
      <c r="Y6" s="38" t="s">
        <v>12</v>
      </c>
      <c r="Z6" s="41" t="s">
        <v>237</v>
      </c>
      <c r="AA6" s="42" t="s">
        <v>361</v>
      </c>
      <c r="AB6" s="8" t="s">
        <v>13</v>
      </c>
    </row>
    <row r="7" spans="1:28" s="51" customFormat="1" ht="46.15" customHeight="1">
      <c r="A7" s="43" t="s">
        <v>16</v>
      </c>
      <c r="B7" s="44">
        <v>2512082</v>
      </c>
      <c r="C7" s="45" t="s">
        <v>304</v>
      </c>
      <c r="D7" s="46" t="s">
        <v>238</v>
      </c>
      <c r="E7" s="44">
        <v>713955</v>
      </c>
      <c r="F7" s="45" t="s">
        <v>18</v>
      </c>
      <c r="G7" s="43" t="s">
        <v>19</v>
      </c>
      <c r="H7" s="45" t="s">
        <v>88</v>
      </c>
      <c r="I7" s="47">
        <v>432</v>
      </c>
      <c r="J7" s="47">
        <v>720</v>
      </c>
      <c r="K7" s="47">
        <v>720</v>
      </c>
      <c r="L7" s="47">
        <v>432</v>
      </c>
      <c r="M7" s="47">
        <v>240</v>
      </c>
      <c r="N7" s="47">
        <f>SUM(I7:M7)</f>
        <v>2544</v>
      </c>
      <c r="O7" s="45"/>
      <c r="P7" s="99">
        <v>46137</v>
      </c>
      <c r="Q7" s="99">
        <v>46142</v>
      </c>
      <c r="R7" s="109"/>
      <c r="S7" s="48" t="s">
        <v>373</v>
      </c>
      <c r="T7" s="48" t="s">
        <v>305</v>
      </c>
      <c r="U7" s="48" t="s">
        <v>239</v>
      </c>
      <c r="V7" s="45" t="s">
        <v>239</v>
      </c>
      <c r="W7" s="149" t="s">
        <v>244</v>
      </c>
      <c r="X7" s="43" t="s">
        <v>240</v>
      </c>
      <c r="Y7" s="43" t="s">
        <v>241</v>
      </c>
      <c r="Z7" s="50" t="s">
        <v>89</v>
      </c>
      <c r="AA7" s="43">
        <v>46014</v>
      </c>
    </row>
    <row r="8" spans="1:28" s="51" customFormat="1" ht="46.15" customHeight="1">
      <c r="A8" s="43" t="s">
        <v>16</v>
      </c>
      <c r="B8" s="44">
        <v>2512082</v>
      </c>
      <c r="C8" s="45" t="s">
        <v>304</v>
      </c>
      <c r="D8" s="46" t="s">
        <v>238</v>
      </c>
      <c r="E8" s="44">
        <v>713955</v>
      </c>
      <c r="F8" s="45" t="s">
        <v>18</v>
      </c>
      <c r="G8" s="43" t="s">
        <v>19</v>
      </c>
      <c r="H8" s="45" t="s">
        <v>88</v>
      </c>
      <c r="I8" s="47">
        <v>48</v>
      </c>
      <c r="J8" s="47">
        <v>48</v>
      </c>
      <c r="K8" s="47">
        <v>48</v>
      </c>
      <c r="L8" s="45"/>
      <c r="M8" s="45"/>
      <c r="N8" s="47">
        <f>SUM(I8:M8)</f>
        <v>144</v>
      </c>
      <c r="O8" s="45"/>
      <c r="P8" s="99">
        <v>46137</v>
      </c>
      <c r="Q8" s="99">
        <v>46142</v>
      </c>
      <c r="R8" s="109"/>
      <c r="S8" s="48" t="s">
        <v>373</v>
      </c>
      <c r="T8" s="48" t="s">
        <v>306</v>
      </c>
      <c r="U8" s="48" t="s">
        <v>239</v>
      </c>
      <c r="V8" s="45" t="s">
        <v>239</v>
      </c>
      <c r="W8" s="149" t="s">
        <v>244</v>
      </c>
      <c r="X8" s="43" t="s">
        <v>240</v>
      </c>
      <c r="Y8" s="43" t="s">
        <v>241</v>
      </c>
      <c r="Z8" s="50" t="s">
        <v>89</v>
      </c>
      <c r="AA8" s="43">
        <v>46014</v>
      </c>
    </row>
    <row r="9" spans="1:28" s="51" customFormat="1" ht="46.15" customHeight="1">
      <c r="A9" s="149" t="s">
        <v>16</v>
      </c>
      <c r="B9" s="154">
        <v>2602030</v>
      </c>
      <c r="C9" s="109" t="s">
        <v>304</v>
      </c>
      <c r="D9" s="150" t="s">
        <v>253</v>
      </c>
      <c r="E9" s="154">
        <v>713955</v>
      </c>
      <c r="F9" s="109" t="s">
        <v>18</v>
      </c>
      <c r="G9" s="149" t="s">
        <v>19</v>
      </c>
      <c r="H9" s="109" t="s">
        <v>88</v>
      </c>
      <c r="I9" s="151">
        <v>14</v>
      </c>
      <c r="J9" s="151">
        <v>19</v>
      </c>
      <c r="K9" s="151">
        <v>20</v>
      </c>
      <c r="L9" s="151">
        <v>10</v>
      </c>
      <c r="M9" s="151">
        <v>3</v>
      </c>
      <c r="N9" s="151">
        <v>66</v>
      </c>
      <c r="O9" s="109"/>
      <c r="P9" s="97">
        <v>46188</v>
      </c>
      <c r="Q9" s="97">
        <v>46193</v>
      </c>
      <c r="R9" s="157"/>
      <c r="S9" s="48" t="s">
        <v>373</v>
      </c>
      <c r="T9" s="109" t="s">
        <v>399</v>
      </c>
      <c r="U9" s="153" t="s">
        <v>254</v>
      </c>
      <c r="V9" s="149"/>
      <c r="W9" s="149" t="s">
        <v>244</v>
      </c>
      <c r="X9" s="149" t="s">
        <v>48</v>
      </c>
      <c r="Y9" s="69" t="s">
        <v>255</v>
      </c>
      <c r="Z9" s="69" t="s">
        <v>89</v>
      </c>
      <c r="AA9" s="149">
        <v>46057</v>
      </c>
      <c r="AB9" s="319" t="s">
        <v>428</v>
      </c>
    </row>
    <row r="10" spans="1:28" s="51" customFormat="1" ht="46.15" customHeight="1">
      <c r="A10" s="149" t="s">
        <v>16</v>
      </c>
      <c r="B10" s="154">
        <v>2602030</v>
      </c>
      <c r="C10" s="109" t="s">
        <v>304</v>
      </c>
      <c r="D10" s="150" t="s">
        <v>249</v>
      </c>
      <c r="E10" s="154">
        <v>713955</v>
      </c>
      <c r="F10" s="109" t="s">
        <v>18</v>
      </c>
      <c r="G10" s="149" t="s">
        <v>19</v>
      </c>
      <c r="H10" s="109" t="s">
        <v>88</v>
      </c>
      <c r="I10" s="151">
        <v>24</v>
      </c>
      <c r="J10" s="151">
        <v>59</v>
      </c>
      <c r="K10" s="151">
        <v>50</v>
      </c>
      <c r="L10" s="151">
        <v>38</v>
      </c>
      <c r="M10" s="151">
        <v>24</v>
      </c>
      <c r="N10" s="151">
        <v>195</v>
      </c>
      <c r="O10" s="109"/>
      <c r="P10" s="97">
        <v>46188</v>
      </c>
      <c r="Q10" s="97">
        <v>46193</v>
      </c>
      <c r="R10" s="157"/>
      <c r="S10" s="48" t="s">
        <v>373</v>
      </c>
      <c r="T10" s="109" t="s">
        <v>400</v>
      </c>
      <c r="U10" s="153" t="s">
        <v>250</v>
      </c>
      <c r="V10" s="149" t="s">
        <v>251</v>
      </c>
      <c r="W10" s="149" t="s">
        <v>244</v>
      </c>
      <c r="X10" s="149" t="s">
        <v>48</v>
      </c>
      <c r="Y10" s="69" t="s">
        <v>252</v>
      </c>
      <c r="Z10" s="69" t="s">
        <v>89</v>
      </c>
      <c r="AA10" s="149">
        <v>46057</v>
      </c>
      <c r="AB10" s="319" t="s">
        <v>428</v>
      </c>
    </row>
    <row r="11" spans="1:28" s="51" customFormat="1" ht="46.15" customHeight="1">
      <c r="A11" s="149" t="s">
        <v>16</v>
      </c>
      <c r="B11" s="154">
        <v>2602030</v>
      </c>
      <c r="C11" s="109" t="s">
        <v>304</v>
      </c>
      <c r="D11" s="150" t="s">
        <v>17</v>
      </c>
      <c r="E11" s="154">
        <v>713955</v>
      </c>
      <c r="F11" s="109" t="s">
        <v>18</v>
      </c>
      <c r="G11" s="149" t="s">
        <v>19</v>
      </c>
      <c r="H11" s="109" t="s">
        <v>88</v>
      </c>
      <c r="I11" s="151">
        <v>82</v>
      </c>
      <c r="J11" s="151">
        <v>164</v>
      </c>
      <c r="K11" s="151">
        <v>246</v>
      </c>
      <c r="L11" s="151">
        <v>164</v>
      </c>
      <c r="M11" s="151"/>
      <c r="N11" s="151">
        <v>656</v>
      </c>
      <c r="O11" s="109"/>
      <c r="P11" s="97">
        <v>46188</v>
      </c>
      <c r="Q11" s="97">
        <v>46193</v>
      </c>
      <c r="R11" s="157"/>
      <c r="S11" s="48" t="s">
        <v>373</v>
      </c>
      <c r="T11" s="109" t="s">
        <v>401</v>
      </c>
      <c r="U11" s="153" t="s">
        <v>20</v>
      </c>
      <c r="V11" s="149" t="s">
        <v>20</v>
      </c>
      <c r="W11" s="149" t="s">
        <v>244</v>
      </c>
      <c r="X11" s="149" t="s">
        <v>21</v>
      </c>
      <c r="Y11" s="69" t="s">
        <v>22</v>
      </c>
      <c r="Z11" s="69" t="s">
        <v>89</v>
      </c>
      <c r="AA11" s="149">
        <v>46057</v>
      </c>
      <c r="AB11" s="319" t="s">
        <v>428</v>
      </c>
    </row>
    <row r="12" spans="1:28" s="51" customFormat="1" ht="46.15" customHeight="1">
      <c r="A12" s="149" t="s">
        <v>16</v>
      </c>
      <c r="B12" s="154">
        <v>2602030</v>
      </c>
      <c r="C12" s="109" t="s">
        <v>304</v>
      </c>
      <c r="D12" s="150" t="s">
        <v>96</v>
      </c>
      <c r="E12" s="154">
        <v>713955</v>
      </c>
      <c r="F12" s="109" t="s">
        <v>18</v>
      </c>
      <c r="G12" s="149" t="s">
        <v>19</v>
      </c>
      <c r="H12" s="109" t="s">
        <v>88</v>
      </c>
      <c r="I12" s="151">
        <v>4</v>
      </c>
      <c r="J12" s="151">
        <v>7</v>
      </c>
      <c r="K12" s="151">
        <v>6</v>
      </c>
      <c r="L12" s="151">
        <v>8</v>
      </c>
      <c r="M12" s="151">
        <v>7</v>
      </c>
      <c r="N12" s="151">
        <v>32</v>
      </c>
      <c r="O12" s="109"/>
      <c r="P12" s="97">
        <v>46188</v>
      </c>
      <c r="Q12" s="97">
        <v>46193</v>
      </c>
      <c r="R12" s="157"/>
      <c r="S12" s="48" t="s">
        <v>373</v>
      </c>
      <c r="T12" s="109" t="s">
        <v>402</v>
      </c>
      <c r="U12" s="153" t="s">
        <v>97</v>
      </c>
      <c r="V12" s="149"/>
      <c r="W12" s="149" t="s">
        <v>244</v>
      </c>
      <c r="X12" s="149" t="s">
        <v>98</v>
      </c>
      <c r="Y12" s="69" t="s">
        <v>99</v>
      </c>
      <c r="Z12" s="69" t="s">
        <v>89</v>
      </c>
      <c r="AA12" s="149">
        <v>46057</v>
      </c>
      <c r="AB12" s="319" t="s">
        <v>428</v>
      </c>
    </row>
    <row r="13" spans="1:28" s="51" customFormat="1" ht="46.15" customHeight="1">
      <c r="A13" s="149" t="s">
        <v>16</v>
      </c>
      <c r="B13" s="154">
        <v>2602030</v>
      </c>
      <c r="C13" s="109" t="s">
        <v>304</v>
      </c>
      <c r="D13" s="150" t="s">
        <v>14</v>
      </c>
      <c r="E13" s="154">
        <v>713955</v>
      </c>
      <c r="F13" s="109" t="s">
        <v>18</v>
      </c>
      <c r="G13" s="149" t="s">
        <v>19</v>
      </c>
      <c r="H13" s="109" t="s">
        <v>88</v>
      </c>
      <c r="I13" s="151">
        <v>11</v>
      </c>
      <c r="J13" s="151">
        <v>23</v>
      </c>
      <c r="K13" s="151">
        <v>20</v>
      </c>
      <c r="L13" s="151">
        <v>24</v>
      </c>
      <c r="M13" s="151">
        <v>24</v>
      </c>
      <c r="N13" s="151">
        <v>102</v>
      </c>
      <c r="O13" s="109"/>
      <c r="P13" s="97">
        <v>46188</v>
      </c>
      <c r="Q13" s="97">
        <v>46193</v>
      </c>
      <c r="R13" s="157"/>
      <c r="S13" s="48" t="s">
        <v>373</v>
      </c>
      <c r="T13" s="109" t="s">
        <v>403</v>
      </c>
      <c r="U13" s="153" t="s">
        <v>33</v>
      </c>
      <c r="V13" s="149" t="s">
        <v>34</v>
      </c>
      <c r="W13" s="149" t="s">
        <v>244</v>
      </c>
      <c r="X13" s="149" t="s">
        <v>35</v>
      </c>
      <c r="Y13" s="69" t="s">
        <v>15</v>
      </c>
      <c r="Z13" s="69" t="s">
        <v>89</v>
      </c>
      <c r="AA13" s="149">
        <v>46057</v>
      </c>
      <c r="AB13" s="319" t="s">
        <v>428</v>
      </c>
    </row>
    <row r="14" spans="1:28" s="51" customFormat="1" ht="46.15" customHeight="1">
      <c r="A14" s="149" t="s">
        <v>16</v>
      </c>
      <c r="B14" s="154">
        <v>2602030</v>
      </c>
      <c r="C14" s="109" t="s">
        <v>304</v>
      </c>
      <c r="D14" s="150" t="s">
        <v>262</v>
      </c>
      <c r="E14" s="154">
        <v>713955</v>
      </c>
      <c r="F14" s="109" t="s">
        <v>18</v>
      </c>
      <c r="G14" s="149" t="s">
        <v>19</v>
      </c>
      <c r="H14" s="109" t="s">
        <v>88</v>
      </c>
      <c r="I14" s="151">
        <v>29</v>
      </c>
      <c r="J14" s="151">
        <v>68</v>
      </c>
      <c r="K14" s="151">
        <v>57</v>
      </c>
      <c r="L14" s="151">
        <v>31</v>
      </c>
      <c r="M14" s="151">
        <v>15</v>
      </c>
      <c r="N14" s="151">
        <v>200</v>
      </c>
      <c r="O14" s="109"/>
      <c r="P14" s="97">
        <v>46188</v>
      </c>
      <c r="Q14" s="97">
        <v>46193</v>
      </c>
      <c r="R14" s="157"/>
      <c r="S14" s="48" t="s">
        <v>373</v>
      </c>
      <c r="T14" s="109" t="s">
        <v>404</v>
      </c>
      <c r="U14" s="153" t="s">
        <v>263</v>
      </c>
      <c r="V14" s="149" t="s">
        <v>264</v>
      </c>
      <c r="W14" s="149" t="s">
        <v>244</v>
      </c>
      <c r="X14" s="149" t="s">
        <v>48</v>
      </c>
      <c r="Y14" s="69" t="s">
        <v>265</v>
      </c>
      <c r="Z14" s="69" t="s">
        <v>89</v>
      </c>
      <c r="AA14" s="149">
        <v>46057</v>
      </c>
      <c r="AB14" s="319" t="s">
        <v>428</v>
      </c>
    </row>
    <row r="15" spans="1:28" s="51" customFormat="1" ht="46.15" customHeight="1">
      <c r="A15" s="149" t="s">
        <v>16</v>
      </c>
      <c r="B15" s="154">
        <v>2602030</v>
      </c>
      <c r="C15" s="109" t="s">
        <v>304</v>
      </c>
      <c r="D15" s="150" t="s">
        <v>17</v>
      </c>
      <c r="E15" s="154">
        <v>713955</v>
      </c>
      <c r="F15" s="109" t="s">
        <v>18</v>
      </c>
      <c r="G15" s="149" t="s">
        <v>19</v>
      </c>
      <c r="H15" s="109" t="s">
        <v>88</v>
      </c>
      <c r="I15" s="151">
        <v>72</v>
      </c>
      <c r="J15" s="151">
        <v>72</v>
      </c>
      <c r="K15" s="151">
        <v>108</v>
      </c>
      <c r="L15" s="151">
        <v>72</v>
      </c>
      <c r="M15" s="151">
        <v>18</v>
      </c>
      <c r="N15" s="151">
        <v>342</v>
      </c>
      <c r="O15" s="109"/>
      <c r="P15" s="97">
        <v>46188</v>
      </c>
      <c r="Q15" s="97">
        <v>46193</v>
      </c>
      <c r="R15" s="157"/>
      <c r="S15" s="48" t="s">
        <v>373</v>
      </c>
      <c r="T15" s="109" t="s">
        <v>405</v>
      </c>
      <c r="U15" s="153" t="s">
        <v>20</v>
      </c>
      <c r="V15" s="149" t="s">
        <v>20</v>
      </c>
      <c r="W15" s="149" t="s">
        <v>244</v>
      </c>
      <c r="X15" s="149" t="s">
        <v>21</v>
      </c>
      <c r="Y15" s="69" t="s">
        <v>22</v>
      </c>
      <c r="Z15" s="69" t="s">
        <v>89</v>
      </c>
      <c r="AA15" s="149">
        <v>46057</v>
      </c>
      <c r="AB15" s="319" t="s">
        <v>428</v>
      </c>
    </row>
    <row r="16" spans="1:28" s="51" customFormat="1" ht="46.15" customHeight="1">
      <c r="A16" s="149" t="s">
        <v>16</v>
      </c>
      <c r="B16" s="154">
        <v>2602030</v>
      </c>
      <c r="C16" s="109" t="s">
        <v>304</v>
      </c>
      <c r="D16" s="150" t="s">
        <v>245</v>
      </c>
      <c r="E16" s="154">
        <v>713955</v>
      </c>
      <c r="F16" s="109" t="s">
        <v>18</v>
      </c>
      <c r="G16" s="149" t="s">
        <v>19</v>
      </c>
      <c r="H16" s="109" t="s">
        <v>88</v>
      </c>
      <c r="I16" s="151">
        <v>11</v>
      </c>
      <c r="J16" s="151">
        <v>21</v>
      </c>
      <c r="K16" s="151">
        <v>42</v>
      </c>
      <c r="L16" s="151">
        <v>31</v>
      </c>
      <c r="M16" s="151">
        <v>19</v>
      </c>
      <c r="N16" s="151">
        <v>124</v>
      </c>
      <c r="O16" s="109"/>
      <c r="P16" s="97">
        <v>46188</v>
      </c>
      <c r="Q16" s="97">
        <v>46193</v>
      </c>
      <c r="R16" s="157"/>
      <c r="S16" s="48" t="s">
        <v>373</v>
      </c>
      <c r="T16" s="109" t="s">
        <v>406</v>
      </c>
      <c r="U16" s="153" t="s">
        <v>246</v>
      </c>
      <c r="V16" s="149" t="s">
        <v>247</v>
      </c>
      <c r="W16" s="149" t="s">
        <v>244</v>
      </c>
      <c r="X16" s="149" t="s">
        <v>48</v>
      </c>
      <c r="Y16" s="69" t="s">
        <v>248</v>
      </c>
      <c r="Z16" s="69" t="s">
        <v>89</v>
      </c>
      <c r="AA16" s="149">
        <v>46057</v>
      </c>
      <c r="AB16" s="319" t="s">
        <v>428</v>
      </c>
    </row>
    <row r="17" spans="1:27" s="51" customFormat="1" ht="46.15" customHeight="1">
      <c r="A17" s="149"/>
      <c r="B17" s="154"/>
      <c r="C17" s="109"/>
      <c r="D17" s="150"/>
      <c r="E17" s="154"/>
      <c r="F17" s="109"/>
      <c r="G17" s="149"/>
      <c r="H17" s="109"/>
      <c r="I17" s="151"/>
      <c r="J17" s="151"/>
      <c r="K17" s="151"/>
      <c r="L17" s="109"/>
      <c r="M17" s="109"/>
      <c r="N17" s="151"/>
      <c r="O17" s="109"/>
      <c r="P17" s="97"/>
      <c r="Q17" s="97"/>
      <c r="R17" s="109"/>
      <c r="S17" s="157"/>
      <c r="T17" s="157"/>
      <c r="U17" s="109"/>
      <c r="V17" s="153"/>
      <c r="W17" s="149"/>
      <c r="X17" s="149"/>
      <c r="Y17" s="149"/>
      <c r="Z17" s="69"/>
      <c r="AA17" s="149"/>
    </row>
    <row r="18" spans="1:27" s="51" customFormat="1" ht="46.15" customHeight="1">
      <c r="A18" s="43"/>
      <c r="B18" s="44"/>
      <c r="C18" s="45"/>
      <c r="D18" s="46"/>
      <c r="E18" s="44"/>
      <c r="F18" s="45"/>
      <c r="G18" s="43"/>
      <c r="H18" s="45"/>
      <c r="I18" s="45"/>
      <c r="J18" s="45"/>
      <c r="K18" s="45"/>
      <c r="L18" s="45"/>
      <c r="M18" s="45"/>
      <c r="N18" s="77">
        <f>SUM(N7:N16)</f>
        <v>4405</v>
      </c>
      <c r="O18" s="45"/>
      <c r="P18" s="99"/>
      <c r="Q18" s="99"/>
      <c r="R18" s="109"/>
      <c r="S18" s="48"/>
      <c r="T18" s="48"/>
      <c r="U18" s="45"/>
      <c r="V18" s="49"/>
      <c r="W18" s="43"/>
      <c r="X18" s="43"/>
      <c r="Y18" s="43"/>
      <c r="Z18" s="50"/>
      <c r="AA18" s="43"/>
    </row>
    <row r="19" spans="1:27" ht="30.6" customHeight="1">
      <c r="AA19" s="65"/>
    </row>
    <row r="20" spans="1:27" ht="30.6" customHeight="1">
      <c r="N20" s="95"/>
    </row>
  </sheetData>
  <mergeCells count="2">
    <mergeCell ref="A2:D2"/>
    <mergeCell ref="A4:D4"/>
  </mergeCells>
  <pageMargins left="0" right="0" top="0.39370078740157483" bottom="0.74803149606299213" header="0.31496062992125984" footer="0.31496062992125984"/>
  <pageSetup paperSize="9" scale="31" orientation="landscape" r:id="rId1"/>
  <headerFooter>
    <oddFooter>&amp;C第 &amp;P 页，共 &amp;N 页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G53"/>
  <sheetViews>
    <sheetView view="pageBreakPreview" topLeftCell="F1" zoomScale="60" zoomScaleNormal="60" workbookViewId="0">
      <selection activeCell="W17" sqref="W17:Z17"/>
    </sheetView>
  </sheetViews>
  <sheetFormatPr defaultColWidth="9" defaultRowHeight="20.25"/>
  <cols>
    <col min="1" max="1" width="10.28515625" style="323" customWidth="1"/>
    <col min="2" max="2" width="16" style="322" customWidth="1"/>
    <col min="3" max="3" width="17" style="323" customWidth="1"/>
    <col min="4" max="4" width="15.85546875" style="322" customWidth="1"/>
    <col min="5" max="5" width="18.42578125" style="323" customWidth="1"/>
    <col min="6" max="6" width="12.140625" style="323" customWidth="1"/>
    <col min="7" max="7" width="18.85546875" style="323" customWidth="1"/>
    <col min="8" max="9" width="14.28515625" style="324" customWidth="1"/>
    <col min="10" max="10" width="11.140625" style="324" customWidth="1"/>
    <col min="11" max="11" width="9" style="324" customWidth="1"/>
    <col min="12" max="12" width="10.85546875" style="324" customWidth="1"/>
    <col min="13" max="13" width="9" style="324" customWidth="1"/>
    <col min="14" max="14" width="10.5703125" style="324" customWidth="1"/>
    <col min="15" max="15" width="10.42578125" style="324" customWidth="1"/>
    <col min="16" max="16" width="15.140625" style="325" customWidth="1"/>
    <col min="17" max="17" width="21" style="326" customWidth="1"/>
    <col min="18" max="18" width="24.7109375" style="326" customWidth="1"/>
    <col min="19" max="19" width="42.85546875" style="326" customWidth="1"/>
    <col min="20" max="20" width="17.7109375" style="325" customWidth="1"/>
    <col min="21" max="21" width="29.7109375" style="325" customWidth="1"/>
    <col min="22" max="22" width="17.85546875" style="327" customWidth="1"/>
    <col min="23" max="23" width="12.5703125" style="328" customWidth="1"/>
    <col min="24" max="24" width="18.28515625" style="323" customWidth="1"/>
    <col min="25" max="25" width="20.140625" style="323" customWidth="1"/>
    <col min="26" max="26" width="24.140625" style="323" customWidth="1"/>
    <col min="27" max="27" width="16.28515625" style="322" customWidth="1"/>
    <col min="28" max="28" width="23" style="323" customWidth="1"/>
    <col min="29" max="29" width="9" style="110"/>
    <col min="30" max="31" width="9" style="102"/>
    <col min="32" max="32" width="17.28515625" style="102" customWidth="1"/>
    <col min="33" max="16384" width="9" style="102"/>
  </cols>
  <sheetData>
    <row r="1" spans="1:33">
      <c r="A1" s="320" t="s">
        <v>337</v>
      </c>
      <c r="B1" s="321"/>
      <c r="C1" s="320"/>
    </row>
    <row r="2" spans="1:33" ht="25.5" customHeight="1">
      <c r="A2" s="382" t="s">
        <v>87</v>
      </c>
      <c r="B2" s="382"/>
      <c r="C2" s="382"/>
      <c r="D2" s="382"/>
      <c r="E2" s="329"/>
      <c r="F2" s="329"/>
      <c r="G2" s="329"/>
      <c r="O2" s="324" t="s">
        <v>338</v>
      </c>
      <c r="Q2" s="326" t="s">
        <v>432</v>
      </c>
      <c r="T2" s="322" t="s">
        <v>340</v>
      </c>
      <c r="V2" s="330"/>
      <c r="Z2" s="329"/>
      <c r="AA2" s="331"/>
      <c r="AB2" s="329"/>
    </row>
    <row r="3" spans="1:33" ht="25.5" customHeight="1">
      <c r="A3" s="320" t="s">
        <v>81</v>
      </c>
      <c r="B3" s="321"/>
      <c r="C3" s="320"/>
      <c r="E3" s="329"/>
      <c r="F3" s="332"/>
      <c r="G3" s="329"/>
      <c r="O3" s="324" t="s">
        <v>341</v>
      </c>
      <c r="Q3" s="326" t="s">
        <v>342</v>
      </c>
      <c r="T3" s="322" t="s">
        <v>343</v>
      </c>
      <c r="V3" s="330"/>
      <c r="Z3" s="329"/>
      <c r="AA3" s="331"/>
      <c r="AB3" s="329"/>
    </row>
    <row r="4" spans="1:33" ht="75.75" customHeight="1">
      <c r="A4" s="382" t="s">
        <v>84</v>
      </c>
      <c r="B4" s="382"/>
      <c r="C4" s="382"/>
      <c r="D4" s="382"/>
      <c r="E4" s="329"/>
      <c r="F4" s="329"/>
      <c r="G4" s="329"/>
      <c r="H4" s="290"/>
      <c r="I4" s="290"/>
      <c r="O4" s="324" t="s">
        <v>344</v>
      </c>
      <c r="P4" s="333"/>
      <c r="Q4" s="326" t="s">
        <v>433</v>
      </c>
      <c r="T4" s="322" t="s">
        <v>346</v>
      </c>
      <c r="V4" s="330"/>
      <c r="Z4" s="329"/>
      <c r="AA4" s="331"/>
      <c r="AB4" s="329"/>
    </row>
    <row r="5" spans="1:33" ht="18.75" customHeight="1">
      <c r="A5" s="320" t="s">
        <v>366</v>
      </c>
      <c r="B5" s="321"/>
      <c r="C5" s="320"/>
      <c r="E5" s="334"/>
      <c r="F5" s="334"/>
      <c r="G5" s="334"/>
      <c r="N5" s="328"/>
      <c r="O5" s="328"/>
      <c r="P5" s="335"/>
      <c r="T5" s="335" t="s">
        <v>348</v>
      </c>
      <c r="V5" s="330"/>
      <c r="Z5" s="334"/>
      <c r="AA5" s="336"/>
      <c r="AB5" s="334"/>
    </row>
    <row r="6" spans="1:33" s="121" customFormat="1" ht="60.75" customHeight="1">
      <c r="A6" s="111" t="s">
        <v>349</v>
      </c>
      <c r="B6" s="111" t="s">
        <v>350</v>
      </c>
      <c r="C6" s="112" t="s">
        <v>351</v>
      </c>
      <c r="D6" s="112" t="s">
        <v>352</v>
      </c>
      <c r="E6" s="113" t="s">
        <v>353</v>
      </c>
      <c r="F6" s="113" t="s">
        <v>0</v>
      </c>
      <c r="G6" s="113" t="s">
        <v>354</v>
      </c>
      <c r="H6" s="113" t="s">
        <v>355</v>
      </c>
      <c r="I6" s="113" t="s">
        <v>78</v>
      </c>
      <c r="J6" s="114" t="s">
        <v>1</v>
      </c>
      <c r="K6" s="114" t="s">
        <v>2</v>
      </c>
      <c r="L6" s="114" t="s">
        <v>3</v>
      </c>
      <c r="M6" s="114" t="s">
        <v>4</v>
      </c>
      <c r="N6" s="114" t="s">
        <v>5</v>
      </c>
      <c r="O6" s="114" t="s">
        <v>6</v>
      </c>
      <c r="P6" s="114" t="s">
        <v>7</v>
      </c>
      <c r="Q6" s="115" t="s">
        <v>357</v>
      </c>
      <c r="R6" s="115" t="s">
        <v>8</v>
      </c>
      <c r="S6" s="115" t="s">
        <v>367</v>
      </c>
      <c r="T6" s="116" t="s">
        <v>9</v>
      </c>
      <c r="U6" s="117" t="s">
        <v>358</v>
      </c>
      <c r="V6" s="118" t="s">
        <v>10</v>
      </c>
      <c r="W6" s="116" t="s">
        <v>11</v>
      </c>
      <c r="X6" s="116" t="s">
        <v>359</v>
      </c>
      <c r="Y6" s="116" t="s">
        <v>360</v>
      </c>
      <c r="Z6" s="116" t="s">
        <v>12</v>
      </c>
      <c r="AA6" s="119" t="s">
        <v>100</v>
      </c>
      <c r="AB6" s="120" t="s">
        <v>361</v>
      </c>
      <c r="AC6" s="110"/>
    </row>
    <row r="7" spans="1:33" s="340" customFormat="1" ht="33.950000000000003" customHeight="1">
      <c r="A7" s="161" t="s">
        <v>16</v>
      </c>
      <c r="B7" s="337">
        <v>2512047</v>
      </c>
      <c r="C7" s="161" t="s">
        <v>82</v>
      </c>
      <c r="D7" s="161" t="s">
        <v>49</v>
      </c>
      <c r="E7" s="166" t="s">
        <v>235</v>
      </c>
      <c r="F7" s="122" t="s">
        <v>18</v>
      </c>
      <c r="G7" s="161" t="s">
        <v>19</v>
      </c>
      <c r="H7" s="166" t="s">
        <v>88</v>
      </c>
      <c r="I7" s="164">
        <v>5</v>
      </c>
      <c r="J7" s="164">
        <v>20</v>
      </c>
      <c r="K7" s="164">
        <v>39</v>
      </c>
      <c r="L7" s="164">
        <v>36</v>
      </c>
      <c r="M7" s="164">
        <v>19</v>
      </c>
      <c r="N7" s="164">
        <v>8</v>
      </c>
      <c r="O7" s="166"/>
      <c r="P7" s="164">
        <f>SUM(I7:O7)</f>
        <v>127</v>
      </c>
      <c r="Q7" s="104">
        <v>46127</v>
      </c>
      <c r="R7" s="168" t="s">
        <v>434</v>
      </c>
      <c r="S7" s="104">
        <v>46132</v>
      </c>
      <c r="T7" s="166" t="s">
        <v>373</v>
      </c>
      <c r="U7" s="166" t="s">
        <v>202</v>
      </c>
      <c r="V7" s="338" t="s">
        <v>50</v>
      </c>
      <c r="W7" s="161" t="s">
        <v>111</v>
      </c>
      <c r="X7" s="161" t="s">
        <v>244</v>
      </c>
      <c r="Y7" s="161" t="s">
        <v>31</v>
      </c>
      <c r="Z7" s="124" t="s">
        <v>51</v>
      </c>
      <c r="AA7" s="124" t="s">
        <v>101</v>
      </c>
      <c r="AB7" s="339">
        <v>45999</v>
      </c>
      <c r="AC7" s="110" t="s">
        <v>384</v>
      </c>
    </row>
    <row r="8" spans="1:33" s="340" customFormat="1" ht="40.5">
      <c r="A8" s="161" t="s">
        <v>16</v>
      </c>
      <c r="B8" s="337">
        <v>2512047</v>
      </c>
      <c r="C8" s="161" t="s">
        <v>82</v>
      </c>
      <c r="D8" s="161" t="s">
        <v>17</v>
      </c>
      <c r="E8" s="166" t="s">
        <v>235</v>
      </c>
      <c r="F8" s="122" t="s">
        <v>18</v>
      </c>
      <c r="G8" s="161" t="s">
        <v>19</v>
      </c>
      <c r="H8" s="166" t="s">
        <v>88</v>
      </c>
      <c r="I8" s="166"/>
      <c r="J8" s="164">
        <v>56</v>
      </c>
      <c r="K8" s="164">
        <v>70</v>
      </c>
      <c r="L8" s="164">
        <v>56</v>
      </c>
      <c r="M8" s="164">
        <v>42</v>
      </c>
      <c r="N8" s="166"/>
      <c r="O8" s="166"/>
      <c r="P8" s="164">
        <f t="shared" ref="P8:P46" si="0">SUM(I8:O8)</f>
        <v>224</v>
      </c>
      <c r="Q8" s="104">
        <v>46157</v>
      </c>
      <c r="R8" s="168" t="s">
        <v>435</v>
      </c>
      <c r="S8" s="104">
        <v>46162</v>
      </c>
      <c r="T8" s="166" t="s">
        <v>373</v>
      </c>
      <c r="U8" s="166" t="s">
        <v>203</v>
      </c>
      <c r="V8" s="338" t="s">
        <v>20</v>
      </c>
      <c r="W8" s="161" t="s">
        <v>20</v>
      </c>
      <c r="X8" s="161" t="s">
        <v>244</v>
      </c>
      <c r="Y8" s="161" t="s">
        <v>21</v>
      </c>
      <c r="Z8" s="124" t="s">
        <v>22</v>
      </c>
      <c r="AA8" s="124" t="s">
        <v>101</v>
      </c>
      <c r="AB8" s="339">
        <v>45999</v>
      </c>
      <c r="AC8" s="341" t="s">
        <v>374</v>
      </c>
    </row>
    <row r="9" spans="1:33" s="340" customFormat="1" ht="60" customHeight="1">
      <c r="A9" s="161" t="s">
        <v>16</v>
      </c>
      <c r="B9" s="337">
        <v>2512047</v>
      </c>
      <c r="C9" s="161" t="s">
        <v>82</v>
      </c>
      <c r="D9" s="161" t="s">
        <v>67</v>
      </c>
      <c r="E9" s="166" t="s">
        <v>235</v>
      </c>
      <c r="F9" s="122" t="s">
        <v>18</v>
      </c>
      <c r="G9" s="161" t="s">
        <v>19</v>
      </c>
      <c r="H9" s="166" t="s">
        <v>88</v>
      </c>
      <c r="I9" s="166"/>
      <c r="J9" s="164">
        <v>10</v>
      </c>
      <c r="K9" s="164">
        <v>12</v>
      </c>
      <c r="L9" s="164">
        <v>12</v>
      </c>
      <c r="M9" s="164">
        <v>10</v>
      </c>
      <c r="N9" s="164">
        <v>6</v>
      </c>
      <c r="O9" s="166"/>
      <c r="P9" s="164">
        <f t="shared" si="0"/>
        <v>50</v>
      </c>
      <c r="Q9" s="104">
        <v>46122</v>
      </c>
      <c r="R9" s="342" t="s">
        <v>436</v>
      </c>
      <c r="S9" s="104">
        <v>46127</v>
      </c>
      <c r="T9" s="166" t="s">
        <v>373</v>
      </c>
      <c r="U9" s="166" t="s">
        <v>204</v>
      </c>
      <c r="V9" s="338" t="s">
        <v>68</v>
      </c>
      <c r="W9" s="161" t="s">
        <v>68</v>
      </c>
      <c r="X9" s="161" t="s">
        <v>244</v>
      </c>
      <c r="Y9" s="161" t="s">
        <v>26</v>
      </c>
      <c r="Z9" s="124" t="s">
        <v>69</v>
      </c>
      <c r="AA9" s="124" t="s">
        <v>101</v>
      </c>
      <c r="AB9" s="339">
        <v>45999</v>
      </c>
      <c r="AC9" s="125" t="s">
        <v>372</v>
      </c>
    </row>
    <row r="10" spans="1:33" s="340" customFormat="1" ht="40.5">
      <c r="A10" s="161" t="s">
        <v>16</v>
      </c>
      <c r="B10" s="337">
        <v>2512047</v>
      </c>
      <c r="C10" s="161" t="s">
        <v>82</v>
      </c>
      <c r="D10" s="161" t="s">
        <v>23</v>
      </c>
      <c r="E10" s="166" t="s">
        <v>235</v>
      </c>
      <c r="F10" s="122" t="s">
        <v>18</v>
      </c>
      <c r="G10" s="161" t="s">
        <v>19</v>
      </c>
      <c r="H10" s="166" t="s">
        <v>88</v>
      </c>
      <c r="I10" s="166"/>
      <c r="J10" s="164">
        <v>59</v>
      </c>
      <c r="K10" s="164">
        <v>85</v>
      </c>
      <c r="L10" s="164">
        <v>85</v>
      </c>
      <c r="M10" s="164">
        <v>59</v>
      </c>
      <c r="N10" s="164">
        <v>38</v>
      </c>
      <c r="O10" s="166"/>
      <c r="P10" s="164">
        <f t="shared" si="0"/>
        <v>326</v>
      </c>
      <c r="Q10" s="104">
        <v>46122</v>
      </c>
      <c r="R10" s="168" t="s">
        <v>437</v>
      </c>
      <c r="S10" s="104">
        <v>46127</v>
      </c>
      <c r="T10" s="166" t="s">
        <v>373</v>
      </c>
      <c r="U10" s="166" t="s">
        <v>205</v>
      </c>
      <c r="V10" s="338" t="s">
        <v>24</v>
      </c>
      <c r="W10" s="161" t="s">
        <v>24</v>
      </c>
      <c r="X10" s="161" t="s">
        <v>244</v>
      </c>
      <c r="Y10" s="161" t="s">
        <v>26</v>
      </c>
      <c r="Z10" s="124" t="s">
        <v>27</v>
      </c>
      <c r="AA10" s="124" t="s">
        <v>101</v>
      </c>
      <c r="AB10" s="339">
        <v>45999</v>
      </c>
      <c r="AC10" s="110" t="s">
        <v>372</v>
      </c>
    </row>
    <row r="11" spans="1:33" s="340" customFormat="1" ht="33.950000000000003" customHeight="1">
      <c r="A11" s="161" t="s">
        <v>16</v>
      </c>
      <c r="B11" s="337">
        <v>2512047</v>
      </c>
      <c r="C11" s="161" t="s">
        <v>82</v>
      </c>
      <c r="D11" s="161" t="s">
        <v>96</v>
      </c>
      <c r="E11" s="166" t="s">
        <v>235</v>
      </c>
      <c r="F11" s="122" t="s">
        <v>18</v>
      </c>
      <c r="G11" s="161" t="s">
        <v>19</v>
      </c>
      <c r="H11" s="166" t="s">
        <v>88</v>
      </c>
      <c r="I11" s="166"/>
      <c r="J11" s="166"/>
      <c r="K11" s="166"/>
      <c r="L11" s="166"/>
      <c r="M11" s="166"/>
      <c r="N11" s="166"/>
      <c r="O11" s="164">
        <v>10</v>
      </c>
      <c r="P11" s="164">
        <f t="shared" si="0"/>
        <v>10</v>
      </c>
      <c r="Q11" s="104">
        <v>46122</v>
      </c>
      <c r="R11" s="168" t="s">
        <v>438</v>
      </c>
      <c r="S11" s="104">
        <v>46127</v>
      </c>
      <c r="T11" s="166" t="s">
        <v>373</v>
      </c>
      <c r="U11" s="166" t="s">
        <v>206</v>
      </c>
      <c r="V11" s="338" t="s">
        <v>97</v>
      </c>
      <c r="W11" s="161"/>
      <c r="X11" s="161" t="s">
        <v>244</v>
      </c>
      <c r="Y11" s="161" t="s">
        <v>98</v>
      </c>
      <c r="Z11" s="124" t="s">
        <v>99</v>
      </c>
      <c r="AA11" s="124" t="s">
        <v>101</v>
      </c>
      <c r="AB11" s="339">
        <v>45999</v>
      </c>
      <c r="AC11" s="126" t="s">
        <v>388</v>
      </c>
    </row>
    <row r="12" spans="1:33" s="340" customFormat="1" ht="33.950000000000003" customHeight="1">
      <c r="A12" s="161" t="s">
        <v>16</v>
      </c>
      <c r="B12" s="337">
        <v>2512047</v>
      </c>
      <c r="C12" s="161" t="s">
        <v>82</v>
      </c>
      <c r="D12" s="161" t="s">
        <v>96</v>
      </c>
      <c r="E12" s="166" t="s">
        <v>235</v>
      </c>
      <c r="F12" s="122" t="s">
        <v>18</v>
      </c>
      <c r="G12" s="161" t="s">
        <v>19</v>
      </c>
      <c r="H12" s="166" t="s">
        <v>88</v>
      </c>
      <c r="I12" s="164">
        <v>3</v>
      </c>
      <c r="J12" s="164">
        <v>17</v>
      </c>
      <c r="K12" s="164">
        <v>40</v>
      </c>
      <c r="L12" s="164">
        <v>43</v>
      </c>
      <c r="M12" s="164">
        <v>25</v>
      </c>
      <c r="N12" s="164">
        <v>15</v>
      </c>
      <c r="O12" s="166"/>
      <c r="P12" s="164">
        <f t="shared" si="0"/>
        <v>143</v>
      </c>
      <c r="Q12" s="104">
        <v>46122</v>
      </c>
      <c r="R12" s="168" t="s">
        <v>438</v>
      </c>
      <c r="S12" s="104">
        <v>46127</v>
      </c>
      <c r="T12" s="166" t="s">
        <v>373</v>
      </c>
      <c r="U12" s="166" t="s">
        <v>206</v>
      </c>
      <c r="V12" s="338" t="s">
        <v>97</v>
      </c>
      <c r="W12" s="161"/>
      <c r="X12" s="161" t="s">
        <v>244</v>
      </c>
      <c r="Y12" s="161" t="s">
        <v>98</v>
      </c>
      <c r="Z12" s="124" t="s">
        <v>99</v>
      </c>
      <c r="AA12" s="124" t="s">
        <v>101</v>
      </c>
      <c r="AB12" s="339">
        <v>45999</v>
      </c>
      <c r="AC12" s="126" t="s">
        <v>388</v>
      </c>
    </row>
    <row r="13" spans="1:33" s="340" customFormat="1" ht="40.5">
      <c r="A13" s="161" t="s">
        <v>16</v>
      </c>
      <c r="B13" s="337">
        <v>2512047</v>
      </c>
      <c r="C13" s="161" t="s">
        <v>82</v>
      </c>
      <c r="D13" s="161" t="s">
        <v>17</v>
      </c>
      <c r="E13" s="166" t="s">
        <v>235</v>
      </c>
      <c r="F13" s="122" t="s">
        <v>18</v>
      </c>
      <c r="G13" s="161" t="s">
        <v>19</v>
      </c>
      <c r="H13" s="166" t="s">
        <v>88</v>
      </c>
      <c r="I13" s="166"/>
      <c r="J13" s="164">
        <v>160</v>
      </c>
      <c r="K13" s="164">
        <v>240</v>
      </c>
      <c r="L13" s="164">
        <v>160</v>
      </c>
      <c r="M13" s="164">
        <v>80</v>
      </c>
      <c r="N13" s="164">
        <v>80</v>
      </c>
      <c r="O13" s="166"/>
      <c r="P13" s="164">
        <f t="shared" si="0"/>
        <v>720</v>
      </c>
      <c r="Q13" s="104">
        <v>46122</v>
      </c>
      <c r="R13" s="343" t="s">
        <v>438</v>
      </c>
      <c r="S13" s="186" t="s">
        <v>375</v>
      </c>
      <c r="T13" s="166" t="s">
        <v>373</v>
      </c>
      <c r="U13" s="166" t="s">
        <v>207</v>
      </c>
      <c r="V13" s="338" t="s">
        <v>20</v>
      </c>
      <c r="W13" s="161" t="s">
        <v>20</v>
      </c>
      <c r="X13" s="161" t="s">
        <v>244</v>
      </c>
      <c r="Y13" s="161" t="s">
        <v>21</v>
      </c>
      <c r="Z13" s="124" t="s">
        <v>22</v>
      </c>
      <c r="AA13" s="124" t="s">
        <v>101</v>
      </c>
      <c r="AB13" s="339">
        <v>45999</v>
      </c>
      <c r="AC13" s="110" t="s">
        <v>372</v>
      </c>
    </row>
    <row r="14" spans="1:33" s="340" customFormat="1" ht="50.25" customHeight="1">
      <c r="A14" s="161" t="s">
        <v>16</v>
      </c>
      <c r="B14" s="337">
        <v>2512047</v>
      </c>
      <c r="C14" s="161" t="s">
        <v>82</v>
      </c>
      <c r="D14" s="161" t="s">
        <v>149</v>
      </c>
      <c r="E14" s="166" t="s">
        <v>235</v>
      </c>
      <c r="F14" s="122" t="s">
        <v>18</v>
      </c>
      <c r="G14" s="161" t="s">
        <v>19</v>
      </c>
      <c r="H14" s="166" t="s">
        <v>88</v>
      </c>
      <c r="I14" s="166"/>
      <c r="J14" s="164">
        <v>18</v>
      </c>
      <c r="K14" s="164">
        <v>36</v>
      </c>
      <c r="L14" s="164">
        <v>27</v>
      </c>
      <c r="M14" s="164">
        <v>9</v>
      </c>
      <c r="N14" s="166"/>
      <c r="O14" s="166"/>
      <c r="P14" s="164">
        <f t="shared" si="0"/>
        <v>90</v>
      </c>
      <c r="Q14" s="104">
        <v>46137</v>
      </c>
      <c r="R14" s="127" t="s">
        <v>377</v>
      </c>
      <c r="S14" s="104">
        <v>46142</v>
      </c>
      <c r="T14" s="166" t="s">
        <v>373</v>
      </c>
      <c r="U14" s="166" t="s">
        <v>208</v>
      </c>
      <c r="V14" s="338" t="s">
        <v>151</v>
      </c>
      <c r="W14" s="161" t="s">
        <v>151</v>
      </c>
      <c r="X14" s="161" t="s">
        <v>244</v>
      </c>
      <c r="Y14" s="161" t="s">
        <v>26</v>
      </c>
      <c r="Z14" s="124" t="s">
        <v>152</v>
      </c>
      <c r="AA14" s="124" t="s">
        <v>101</v>
      </c>
      <c r="AB14" s="339">
        <v>45999</v>
      </c>
      <c r="AC14" s="128" t="s">
        <v>376</v>
      </c>
    </row>
    <row r="15" spans="1:33" s="340" customFormat="1" ht="48.75" customHeight="1">
      <c r="A15" s="161" t="s">
        <v>16</v>
      </c>
      <c r="B15" s="337">
        <v>2512047</v>
      </c>
      <c r="C15" s="161" t="s">
        <v>82</v>
      </c>
      <c r="D15" s="161" t="s">
        <v>53</v>
      </c>
      <c r="E15" s="166" t="s">
        <v>235</v>
      </c>
      <c r="F15" s="122" t="s">
        <v>18</v>
      </c>
      <c r="G15" s="161" t="s">
        <v>19</v>
      </c>
      <c r="H15" s="166" t="s">
        <v>88</v>
      </c>
      <c r="I15" s="166"/>
      <c r="J15" s="164">
        <v>12</v>
      </c>
      <c r="K15" s="164">
        <v>12</v>
      </c>
      <c r="L15" s="164">
        <v>12</v>
      </c>
      <c r="M15" s="164">
        <v>12</v>
      </c>
      <c r="N15" s="164">
        <v>6</v>
      </c>
      <c r="O15" s="166"/>
      <c r="P15" s="164">
        <f t="shared" si="0"/>
        <v>54</v>
      </c>
      <c r="Q15" s="104">
        <v>46122</v>
      </c>
      <c r="R15" s="342" t="s">
        <v>436</v>
      </c>
      <c r="S15" s="104">
        <v>46127</v>
      </c>
      <c r="T15" s="166" t="s">
        <v>373</v>
      </c>
      <c r="U15" s="166" t="s">
        <v>209</v>
      </c>
      <c r="V15" s="338" t="s">
        <v>28</v>
      </c>
      <c r="W15" s="161" t="s">
        <v>54</v>
      </c>
      <c r="X15" s="161" t="s">
        <v>244</v>
      </c>
      <c r="Y15" s="161" t="s">
        <v>26</v>
      </c>
      <c r="Z15" s="124" t="s">
        <v>55</v>
      </c>
      <c r="AA15" s="124" t="s">
        <v>101</v>
      </c>
      <c r="AB15" s="339">
        <v>45999</v>
      </c>
      <c r="AC15" s="383" t="s">
        <v>372</v>
      </c>
      <c r="AD15" s="384"/>
      <c r="AE15" s="384"/>
      <c r="AF15" s="384"/>
      <c r="AG15" s="384"/>
    </row>
    <row r="16" spans="1:33" s="340" customFormat="1" ht="40.5">
      <c r="A16" s="161" t="s">
        <v>16</v>
      </c>
      <c r="B16" s="337">
        <v>2512047</v>
      </c>
      <c r="C16" s="161" t="s">
        <v>82</v>
      </c>
      <c r="D16" s="161" t="s">
        <v>63</v>
      </c>
      <c r="E16" s="166" t="s">
        <v>235</v>
      </c>
      <c r="F16" s="122" t="s">
        <v>18</v>
      </c>
      <c r="G16" s="161" t="s">
        <v>19</v>
      </c>
      <c r="H16" s="166" t="s">
        <v>88</v>
      </c>
      <c r="I16" s="166"/>
      <c r="J16" s="164">
        <v>17</v>
      </c>
      <c r="K16" s="164">
        <v>20</v>
      </c>
      <c r="L16" s="164">
        <v>12</v>
      </c>
      <c r="M16" s="164">
        <v>1</v>
      </c>
      <c r="N16" s="166"/>
      <c r="O16" s="166"/>
      <c r="P16" s="164">
        <f t="shared" si="0"/>
        <v>50</v>
      </c>
      <c r="Q16" s="104">
        <v>46213</v>
      </c>
      <c r="R16" s="168" t="s">
        <v>439</v>
      </c>
      <c r="S16" s="186">
        <v>46218</v>
      </c>
      <c r="T16" s="166" t="s">
        <v>373</v>
      </c>
      <c r="U16" s="166" t="s">
        <v>210</v>
      </c>
      <c r="V16" s="338" t="s">
        <v>64</v>
      </c>
      <c r="W16" s="161"/>
      <c r="X16" s="161" t="s">
        <v>244</v>
      </c>
      <c r="Y16" s="161" t="s">
        <v>65</v>
      </c>
      <c r="Z16" s="124" t="s">
        <v>66</v>
      </c>
      <c r="AA16" s="124" t="s">
        <v>101</v>
      </c>
      <c r="AB16" s="339">
        <v>45999</v>
      </c>
      <c r="AC16" s="110" t="s">
        <v>386</v>
      </c>
    </row>
    <row r="17" spans="1:29" s="340" customFormat="1" ht="33.950000000000003" customHeight="1">
      <c r="A17" s="161" t="s">
        <v>16</v>
      </c>
      <c r="B17" s="337">
        <v>2512047</v>
      </c>
      <c r="C17" s="161" t="s">
        <v>82</v>
      </c>
      <c r="D17" s="161"/>
      <c r="E17" s="166" t="s">
        <v>235</v>
      </c>
      <c r="F17" s="122" t="s">
        <v>18</v>
      </c>
      <c r="G17" s="161" t="s">
        <v>19</v>
      </c>
      <c r="H17" s="166" t="s">
        <v>88</v>
      </c>
      <c r="I17" s="164">
        <v>4</v>
      </c>
      <c r="J17" s="164">
        <v>18</v>
      </c>
      <c r="K17" s="164">
        <v>18</v>
      </c>
      <c r="L17" s="164">
        <v>17</v>
      </c>
      <c r="M17" s="164">
        <v>9</v>
      </c>
      <c r="N17" s="164">
        <v>5</v>
      </c>
      <c r="O17" s="166"/>
      <c r="P17" s="164">
        <f t="shared" si="0"/>
        <v>71</v>
      </c>
      <c r="Q17" s="104">
        <v>46162</v>
      </c>
      <c r="R17" s="168" t="s">
        <v>440</v>
      </c>
      <c r="S17" s="186">
        <v>46167</v>
      </c>
      <c r="T17" s="166" t="s">
        <v>373</v>
      </c>
      <c r="U17" s="166" t="s">
        <v>211</v>
      </c>
      <c r="V17" s="338" t="s">
        <v>139</v>
      </c>
      <c r="W17" s="387" t="s">
        <v>139</v>
      </c>
      <c r="X17" s="387" t="s">
        <v>244</v>
      </c>
      <c r="Y17" s="387" t="s">
        <v>447</v>
      </c>
      <c r="Z17" s="388" t="s">
        <v>44</v>
      </c>
      <c r="AA17" s="124" t="s">
        <v>101</v>
      </c>
      <c r="AB17" s="339">
        <v>45999</v>
      </c>
      <c r="AC17" s="132" t="s">
        <v>390</v>
      </c>
    </row>
    <row r="18" spans="1:29" s="340" customFormat="1" ht="62.25" customHeight="1">
      <c r="A18" s="161" t="s">
        <v>16</v>
      </c>
      <c r="B18" s="337">
        <v>2512047</v>
      </c>
      <c r="C18" s="161" t="s">
        <v>82</v>
      </c>
      <c r="D18" s="161" t="s">
        <v>23</v>
      </c>
      <c r="E18" s="166" t="s">
        <v>235</v>
      </c>
      <c r="F18" s="122" t="s">
        <v>18</v>
      </c>
      <c r="G18" s="161" t="s">
        <v>19</v>
      </c>
      <c r="H18" s="166" t="s">
        <v>88</v>
      </c>
      <c r="I18" s="166"/>
      <c r="J18" s="164">
        <v>10</v>
      </c>
      <c r="K18" s="164">
        <v>12</v>
      </c>
      <c r="L18" s="164">
        <v>12</v>
      </c>
      <c r="M18" s="164">
        <v>10</v>
      </c>
      <c r="N18" s="164">
        <v>7</v>
      </c>
      <c r="O18" s="166"/>
      <c r="P18" s="164">
        <f t="shared" si="0"/>
        <v>51</v>
      </c>
      <c r="Q18" s="104">
        <v>46122</v>
      </c>
      <c r="R18" s="343" t="s">
        <v>438</v>
      </c>
      <c r="S18" s="343">
        <v>46127</v>
      </c>
      <c r="T18" s="166" t="s">
        <v>373</v>
      </c>
      <c r="U18" s="166" t="s">
        <v>212</v>
      </c>
      <c r="V18" s="338" t="s">
        <v>24</v>
      </c>
      <c r="W18" s="161" t="s">
        <v>25</v>
      </c>
      <c r="X18" s="161" t="s">
        <v>244</v>
      </c>
      <c r="Y18" s="161" t="s">
        <v>26</v>
      </c>
      <c r="Z18" s="124" t="s">
        <v>27</v>
      </c>
      <c r="AA18" s="124" t="s">
        <v>101</v>
      </c>
      <c r="AB18" s="339">
        <v>45999</v>
      </c>
      <c r="AC18" s="110" t="s">
        <v>372</v>
      </c>
    </row>
    <row r="19" spans="1:29" s="340" customFormat="1" ht="33.950000000000003" customHeight="1">
      <c r="A19" s="161" t="s">
        <v>16</v>
      </c>
      <c r="B19" s="337">
        <v>2512047</v>
      </c>
      <c r="C19" s="161" t="s">
        <v>82</v>
      </c>
      <c r="D19" s="161" t="s">
        <v>114</v>
      </c>
      <c r="E19" s="166" t="s">
        <v>235</v>
      </c>
      <c r="F19" s="122" t="s">
        <v>18</v>
      </c>
      <c r="G19" s="161" t="s">
        <v>19</v>
      </c>
      <c r="H19" s="166" t="s">
        <v>88</v>
      </c>
      <c r="I19" s="166"/>
      <c r="J19" s="164">
        <v>2</v>
      </c>
      <c r="K19" s="164">
        <v>86</v>
      </c>
      <c r="L19" s="164">
        <v>168</v>
      </c>
      <c r="M19" s="164">
        <v>125</v>
      </c>
      <c r="N19" s="164">
        <v>41</v>
      </c>
      <c r="O19" s="166"/>
      <c r="P19" s="164">
        <f t="shared" si="0"/>
        <v>422</v>
      </c>
      <c r="Q19" s="104">
        <v>46137</v>
      </c>
      <c r="R19" s="168" t="s">
        <v>441</v>
      </c>
      <c r="S19" s="104">
        <v>46142</v>
      </c>
      <c r="T19" s="166" t="s">
        <v>373</v>
      </c>
      <c r="U19" s="166" t="s">
        <v>213</v>
      </c>
      <c r="V19" s="338" t="s">
        <v>117</v>
      </c>
      <c r="W19" s="161"/>
      <c r="X19" s="161" t="s">
        <v>244</v>
      </c>
      <c r="Y19" s="161" t="s">
        <v>118</v>
      </c>
      <c r="Z19" s="124" t="s">
        <v>119</v>
      </c>
      <c r="AA19" s="124" t="s">
        <v>101</v>
      </c>
      <c r="AB19" s="339">
        <v>45999</v>
      </c>
      <c r="AC19" s="129" t="s">
        <v>387</v>
      </c>
    </row>
    <row r="20" spans="1:29" ht="75" customHeight="1">
      <c r="A20" s="159" t="s">
        <v>16</v>
      </c>
      <c r="B20" s="337">
        <v>2512047</v>
      </c>
      <c r="C20" s="159" t="s">
        <v>82</v>
      </c>
      <c r="D20" s="161" t="s">
        <v>70</v>
      </c>
      <c r="E20" s="163" t="s">
        <v>235</v>
      </c>
      <c r="F20" s="130" t="s">
        <v>18</v>
      </c>
      <c r="G20" s="159" t="s">
        <v>19</v>
      </c>
      <c r="H20" s="163" t="s">
        <v>88</v>
      </c>
      <c r="I20" s="163"/>
      <c r="J20" s="308">
        <v>25</v>
      </c>
      <c r="K20" s="308">
        <v>50</v>
      </c>
      <c r="L20" s="308">
        <v>50</v>
      </c>
      <c r="M20" s="308">
        <v>25</v>
      </c>
      <c r="N20" s="163"/>
      <c r="O20" s="163"/>
      <c r="P20" s="166">
        <f>SUM(I20:O20)</f>
        <v>150</v>
      </c>
      <c r="Q20" s="104">
        <v>46213</v>
      </c>
      <c r="R20" s="168" t="s">
        <v>439</v>
      </c>
      <c r="S20" s="104">
        <v>46218</v>
      </c>
      <c r="T20" s="166" t="s">
        <v>373</v>
      </c>
      <c r="U20" s="162" t="s">
        <v>214</v>
      </c>
      <c r="V20" s="344" t="s">
        <v>28</v>
      </c>
      <c r="W20" s="159" t="s">
        <v>71</v>
      </c>
      <c r="X20" s="161" t="s">
        <v>244</v>
      </c>
      <c r="Y20" s="159" t="s">
        <v>72</v>
      </c>
      <c r="Z20" s="124" t="s">
        <v>73</v>
      </c>
      <c r="AA20" s="124" t="s">
        <v>101</v>
      </c>
      <c r="AB20" s="339">
        <v>45999</v>
      </c>
      <c r="AC20" s="110" t="s">
        <v>379</v>
      </c>
    </row>
    <row r="21" spans="1:29" ht="33.950000000000003" customHeight="1">
      <c r="A21" s="159" t="s">
        <v>16</v>
      </c>
      <c r="B21" s="337">
        <v>2512047</v>
      </c>
      <c r="C21" s="159" t="s">
        <v>82</v>
      </c>
      <c r="D21" s="161" t="s">
        <v>14</v>
      </c>
      <c r="E21" s="163" t="s">
        <v>235</v>
      </c>
      <c r="F21" s="130" t="s">
        <v>18</v>
      </c>
      <c r="G21" s="159" t="s">
        <v>19</v>
      </c>
      <c r="H21" s="163" t="s">
        <v>88</v>
      </c>
      <c r="I21" s="163"/>
      <c r="J21" s="308">
        <v>9</v>
      </c>
      <c r="K21" s="163"/>
      <c r="L21" s="308">
        <v>6</v>
      </c>
      <c r="M21" s="308">
        <v>21</v>
      </c>
      <c r="N21" s="308">
        <v>24</v>
      </c>
      <c r="O21" s="163"/>
      <c r="P21" s="164">
        <f t="shared" si="0"/>
        <v>60</v>
      </c>
      <c r="Q21" s="104">
        <v>46122</v>
      </c>
      <c r="R21" s="168" t="s">
        <v>438</v>
      </c>
      <c r="S21" s="104">
        <v>46127</v>
      </c>
      <c r="T21" s="166" t="s">
        <v>373</v>
      </c>
      <c r="U21" s="162" t="s">
        <v>215</v>
      </c>
      <c r="V21" s="344" t="s">
        <v>33</v>
      </c>
      <c r="W21" s="159"/>
      <c r="X21" s="161" t="s">
        <v>244</v>
      </c>
      <c r="Y21" s="159" t="s">
        <v>36</v>
      </c>
      <c r="Z21" s="124" t="s">
        <v>15</v>
      </c>
      <c r="AA21" s="124" t="s">
        <v>101</v>
      </c>
      <c r="AB21" s="339">
        <v>45995</v>
      </c>
      <c r="AC21" s="132" t="s">
        <v>389</v>
      </c>
    </row>
    <row r="22" spans="1:29" ht="57" customHeight="1">
      <c r="A22" s="159" t="s">
        <v>16</v>
      </c>
      <c r="B22" s="337">
        <v>2512047</v>
      </c>
      <c r="C22" s="159" t="s">
        <v>82</v>
      </c>
      <c r="D22" s="161" t="s">
        <v>14</v>
      </c>
      <c r="E22" s="163" t="s">
        <v>235</v>
      </c>
      <c r="F22" s="130" t="s">
        <v>18</v>
      </c>
      <c r="G22" s="159" t="s">
        <v>19</v>
      </c>
      <c r="H22" s="163" t="s">
        <v>88</v>
      </c>
      <c r="I22" s="308">
        <v>12</v>
      </c>
      <c r="J22" s="308">
        <v>66</v>
      </c>
      <c r="K22" s="308">
        <v>157</v>
      </c>
      <c r="L22" s="308">
        <v>168</v>
      </c>
      <c r="M22" s="308">
        <v>99</v>
      </c>
      <c r="N22" s="308">
        <v>58</v>
      </c>
      <c r="O22" s="163"/>
      <c r="P22" s="164">
        <f t="shared" si="0"/>
        <v>560</v>
      </c>
      <c r="Q22" s="104">
        <v>46122</v>
      </c>
      <c r="R22" s="168" t="s">
        <v>438</v>
      </c>
      <c r="S22" s="104">
        <v>46127</v>
      </c>
      <c r="T22" s="166" t="s">
        <v>373</v>
      </c>
      <c r="U22" s="162" t="s">
        <v>216</v>
      </c>
      <c r="V22" s="344" t="s">
        <v>33</v>
      </c>
      <c r="W22" s="159" t="s">
        <v>34</v>
      </c>
      <c r="X22" s="161" t="s">
        <v>244</v>
      </c>
      <c r="Y22" s="159" t="s">
        <v>35</v>
      </c>
      <c r="Z22" s="124" t="s">
        <v>15</v>
      </c>
      <c r="AA22" s="124" t="s">
        <v>101</v>
      </c>
      <c r="AB22" s="339">
        <v>45995</v>
      </c>
      <c r="AC22" s="110" t="s">
        <v>378</v>
      </c>
    </row>
    <row r="23" spans="1:29" ht="33.950000000000003" customHeight="1">
      <c r="A23" s="159" t="s">
        <v>16</v>
      </c>
      <c r="B23" s="337">
        <v>2512047</v>
      </c>
      <c r="C23" s="159" t="s">
        <v>82</v>
      </c>
      <c r="D23" s="161" t="s">
        <v>14</v>
      </c>
      <c r="E23" s="163" t="s">
        <v>235</v>
      </c>
      <c r="F23" s="130" t="s">
        <v>18</v>
      </c>
      <c r="G23" s="159" t="s">
        <v>19</v>
      </c>
      <c r="H23" s="163" t="s">
        <v>88</v>
      </c>
      <c r="I23" s="163"/>
      <c r="J23" s="163"/>
      <c r="K23" s="163"/>
      <c r="L23" s="163"/>
      <c r="M23" s="163"/>
      <c r="N23" s="163"/>
      <c r="O23" s="308">
        <v>38</v>
      </c>
      <c r="P23" s="164">
        <f t="shared" si="0"/>
        <v>38</v>
      </c>
      <c r="Q23" s="104">
        <v>46122</v>
      </c>
      <c r="R23" s="168" t="s">
        <v>438</v>
      </c>
      <c r="S23" s="104">
        <v>46127</v>
      </c>
      <c r="T23" s="166" t="s">
        <v>373</v>
      </c>
      <c r="U23" s="162" t="s">
        <v>216</v>
      </c>
      <c r="V23" s="344" t="s">
        <v>33</v>
      </c>
      <c r="W23" s="159" t="s">
        <v>34</v>
      </c>
      <c r="X23" s="161" t="s">
        <v>244</v>
      </c>
      <c r="Y23" s="159" t="s">
        <v>35</v>
      </c>
      <c r="Z23" s="124" t="s">
        <v>15</v>
      </c>
      <c r="AA23" s="124" t="s">
        <v>101</v>
      </c>
      <c r="AB23" s="339">
        <v>45995</v>
      </c>
      <c r="AC23" s="110" t="s">
        <v>378</v>
      </c>
    </row>
    <row r="24" spans="1:29" ht="33.950000000000003" customHeight="1">
      <c r="A24" s="159" t="s">
        <v>16</v>
      </c>
      <c r="B24" s="337">
        <v>2512047</v>
      </c>
      <c r="C24" s="159" t="s">
        <v>82</v>
      </c>
      <c r="D24" s="161" t="s">
        <v>37</v>
      </c>
      <c r="E24" s="163" t="s">
        <v>235</v>
      </c>
      <c r="F24" s="130" t="s">
        <v>18</v>
      </c>
      <c r="G24" s="159" t="s">
        <v>19</v>
      </c>
      <c r="H24" s="163" t="s">
        <v>88</v>
      </c>
      <c r="I24" s="308">
        <v>11</v>
      </c>
      <c r="J24" s="308">
        <v>129</v>
      </c>
      <c r="K24" s="308">
        <v>205</v>
      </c>
      <c r="L24" s="308">
        <v>185</v>
      </c>
      <c r="M24" s="308">
        <v>103</v>
      </c>
      <c r="N24" s="308">
        <v>17</v>
      </c>
      <c r="O24" s="163"/>
      <c r="P24" s="164">
        <f t="shared" si="0"/>
        <v>650</v>
      </c>
      <c r="Q24" s="104">
        <v>46122</v>
      </c>
      <c r="R24" s="168" t="s">
        <v>438</v>
      </c>
      <c r="S24" s="104">
        <v>46127</v>
      </c>
      <c r="T24" s="166" t="s">
        <v>373</v>
      </c>
      <c r="U24" s="162" t="s">
        <v>217</v>
      </c>
      <c r="V24" s="344" t="s">
        <v>38</v>
      </c>
      <c r="W24" s="159"/>
      <c r="X24" s="161" t="s">
        <v>244</v>
      </c>
      <c r="Y24" s="159" t="s">
        <v>31</v>
      </c>
      <c r="Z24" s="124" t="s">
        <v>39</v>
      </c>
      <c r="AA24" s="124" t="s">
        <v>101</v>
      </c>
      <c r="AB24" s="339">
        <v>45999</v>
      </c>
      <c r="AC24" s="110" t="s">
        <v>372</v>
      </c>
    </row>
    <row r="25" spans="1:29" ht="51.75" customHeight="1">
      <c r="A25" s="159" t="s">
        <v>16</v>
      </c>
      <c r="B25" s="337">
        <v>2512047</v>
      </c>
      <c r="C25" s="159" t="s">
        <v>82</v>
      </c>
      <c r="D25" s="161" t="s">
        <v>45</v>
      </c>
      <c r="E25" s="163" t="s">
        <v>235</v>
      </c>
      <c r="F25" s="130" t="s">
        <v>18</v>
      </c>
      <c r="G25" s="159" t="s">
        <v>19</v>
      </c>
      <c r="H25" s="163" t="s">
        <v>88</v>
      </c>
      <c r="I25" s="308">
        <v>4</v>
      </c>
      <c r="J25" s="308">
        <v>16</v>
      </c>
      <c r="K25" s="308">
        <v>47</v>
      </c>
      <c r="L25" s="308">
        <v>47</v>
      </c>
      <c r="M25" s="308">
        <v>31</v>
      </c>
      <c r="N25" s="308">
        <v>16</v>
      </c>
      <c r="O25" s="163"/>
      <c r="P25" s="164">
        <f t="shared" si="0"/>
        <v>161</v>
      </c>
      <c r="Q25" s="104">
        <v>46162</v>
      </c>
      <c r="R25" s="168" t="s">
        <v>440</v>
      </c>
      <c r="S25" s="104">
        <v>46167</v>
      </c>
      <c r="T25" s="166" t="s">
        <v>373</v>
      </c>
      <c r="U25" s="162" t="s">
        <v>218</v>
      </c>
      <c r="V25" s="344" t="s">
        <v>46</v>
      </c>
      <c r="W25" s="159"/>
      <c r="X25" s="161" t="s">
        <v>244</v>
      </c>
      <c r="Y25" s="159" t="s">
        <v>31</v>
      </c>
      <c r="Z25" s="124" t="s">
        <v>47</v>
      </c>
      <c r="AA25" s="124" t="s">
        <v>101</v>
      </c>
      <c r="AB25" s="339">
        <v>45999</v>
      </c>
      <c r="AC25" s="110" t="s">
        <v>381</v>
      </c>
    </row>
    <row r="26" spans="1:29" ht="45.75" customHeight="1">
      <c r="A26" s="159" t="s">
        <v>16</v>
      </c>
      <c r="B26" s="337">
        <v>2512047</v>
      </c>
      <c r="C26" s="159" t="s">
        <v>82</v>
      </c>
      <c r="D26" s="161" t="s">
        <v>45</v>
      </c>
      <c r="E26" s="163" t="s">
        <v>235</v>
      </c>
      <c r="F26" s="130" t="s">
        <v>18</v>
      </c>
      <c r="G26" s="159" t="s">
        <v>19</v>
      </c>
      <c r="H26" s="163" t="s">
        <v>88</v>
      </c>
      <c r="I26" s="163"/>
      <c r="J26" s="163"/>
      <c r="K26" s="163"/>
      <c r="L26" s="163"/>
      <c r="M26" s="163"/>
      <c r="N26" s="163"/>
      <c r="O26" s="308">
        <v>1</v>
      </c>
      <c r="P26" s="164">
        <f t="shared" si="0"/>
        <v>1</v>
      </c>
      <c r="Q26" s="104">
        <v>46162</v>
      </c>
      <c r="R26" s="168" t="s">
        <v>440</v>
      </c>
      <c r="S26" s="104">
        <v>46167</v>
      </c>
      <c r="T26" s="166" t="s">
        <v>373</v>
      </c>
      <c r="U26" s="162" t="s">
        <v>218</v>
      </c>
      <c r="V26" s="344" t="s">
        <v>46</v>
      </c>
      <c r="W26" s="159"/>
      <c r="X26" s="161" t="s">
        <v>244</v>
      </c>
      <c r="Y26" s="159" t="s">
        <v>31</v>
      </c>
      <c r="Z26" s="124" t="s">
        <v>47</v>
      </c>
      <c r="AA26" s="124" t="s">
        <v>101</v>
      </c>
      <c r="AB26" s="339">
        <v>45999</v>
      </c>
      <c r="AC26" s="110" t="s">
        <v>381</v>
      </c>
    </row>
    <row r="27" spans="1:29" ht="33.950000000000003" customHeight="1">
      <c r="A27" s="159" t="s">
        <v>16</v>
      </c>
      <c r="B27" s="337">
        <v>2512047</v>
      </c>
      <c r="C27" s="159" t="s">
        <v>82</v>
      </c>
      <c r="D27" s="161" t="s">
        <v>29</v>
      </c>
      <c r="E27" s="163" t="s">
        <v>235</v>
      </c>
      <c r="F27" s="130" t="s">
        <v>18</v>
      </c>
      <c r="G27" s="159" t="s">
        <v>19</v>
      </c>
      <c r="H27" s="163" t="s">
        <v>88</v>
      </c>
      <c r="I27" s="308">
        <v>3</v>
      </c>
      <c r="J27" s="308">
        <v>7</v>
      </c>
      <c r="K27" s="308">
        <v>15</v>
      </c>
      <c r="L27" s="308">
        <v>15</v>
      </c>
      <c r="M27" s="308">
        <v>8</v>
      </c>
      <c r="N27" s="308">
        <v>2</v>
      </c>
      <c r="O27" s="163"/>
      <c r="P27" s="164">
        <f t="shared" si="0"/>
        <v>50</v>
      </c>
      <c r="Q27" s="104">
        <v>46142</v>
      </c>
      <c r="R27" s="168" t="s">
        <v>442</v>
      </c>
      <c r="S27" s="104">
        <v>46147</v>
      </c>
      <c r="T27" s="166" t="s">
        <v>373</v>
      </c>
      <c r="U27" s="162" t="s">
        <v>219</v>
      </c>
      <c r="V27" s="344" t="s">
        <v>30</v>
      </c>
      <c r="W27" s="159" t="s">
        <v>30</v>
      </c>
      <c r="X27" s="161" t="s">
        <v>244</v>
      </c>
      <c r="Y27" s="159" t="s">
        <v>31</v>
      </c>
      <c r="Z27" s="124" t="s">
        <v>32</v>
      </c>
      <c r="AA27" s="124" t="s">
        <v>101</v>
      </c>
      <c r="AB27" s="339">
        <v>45999</v>
      </c>
      <c r="AC27" s="110" t="s">
        <v>383</v>
      </c>
    </row>
    <row r="28" spans="1:29" ht="45.75" customHeight="1">
      <c r="A28" s="159" t="s">
        <v>16</v>
      </c>
      <c r="B28" s="337">
        <v>2512047</v>
      </c>
      <c r="C28" s="159" t="s">
        <v>82</v>
      </c>
      <c r="D28" s="161" t="s">
        <v>49</v>
      </c>
      <c r="E28" s="163" t="s">
        <v>235</v>
      </c>
      <c r="F28" s="130" t="s">
        <v>18</v>
      </c>
      <c r="G28" s="159" t="s">
        <v>19</v>
      </c>
      <c r="H28" s="163" t="s">
        <v>88</v>
      </c>
      <c r="I28" s="308">
        <v>8</v>
      </c>
      <c r="J28" s="308">
        <v>37</v>
      </c>
      <c r="K28" s="308">
        <v>46</v>
      </c>
      <c r="L28" s="308">
        <v>39</v>
      </c>
      <c r="M28" s="308">
        <v>27</v>
      </c>
      <c r="N28" s="308">
        <v>15</v>
      </c>
      <c r="O28" s="163"/>
      <c r="P28" s="164">
        <f t="shared" si="0"/>
        <v>172</v>
      </c>
      <c r="Q28" s="104">
        <v>46127</v>
      </c>
      <c r="R28" s="168" t="s">
        <v>434</v>
      </c>
      <c r="S28" s="186">
        <v>46132</v>
      </c>
      <c r="T28" s="166" t="s">
        <v>373</v>
      </c>
      <c r="U28" s="162" t="s">
        <v>220</v>
      </c>
      <c r="V28" s="344" t="s">
        <v>50</v>
      </c>
      <c r="W28" s="159" t="s">
        <v>50</v>
      </c>
      <c r="X28" s="161" t="s">
        <v>244</v>
      </c>
      <c r="Y28" s="159" t="s">
        <v>31</v>
      </c>
      <c r="Z28" s="124" t="s">
        <v>51</v>
      </c>
      <c r="AA28" s="124" t="s">
        <v>101</v>
      </c>
      <c r="AB28" s="339">
        <v>45999</v>
      </c>
      <c r="AC28" s="110" t="s">
        <v>384</v>
      </c>
    </row>
    <row r="29" spans="1:29" ht="47.25" customHeight="1">
      <c r="A29" s="159" t="s">
        <v>16</v>
      </c>
      <c r="B29" s="337">
        <v>2512047</v>
      </c>
      <c r="C29" s="159" t="s">
        <v>82</v>
      </c>
      <c r="D29" s="161" t="s">
        <v>49</v>
      </c>
      <c r="E29" s="163" t="s">
        <v>235</v>
      </c>
      <c r="F29" s="130" t="s">
        <v>18</v>
      </c>
      <c r="G29" s="159" t="s">
        <v>19</v>
      </c>
      <c r="H29" s="163" t="s">
        <v>88</v>
      </c>
      <c r="I29" s="163"/>
      <c r="J29" s="163"/>
      <c r="K29" s="163"/>
      <c r="L29" s="163"/>
      <c r="M29" s="163"/>
      <c r="N29" s="163"/>
      <c r="O29" s="308">
        <v>5</v>
      </c>
      <c r="P29" s="164">
        <f t="shared" si="0"/>
        <v>5</v>
      </c>
      <c r="Q29" s="104">
        <v>46127</v>
      </c>
      <c r="R29" s="168" t="s">
        <v>434</v>
      </c>
      <c r="S29" s="186">
        <v>46132</v>
      </c>
      <c r="T29" s="166" t="s">
        <v>373</v>
      </c>
      <c r="U29" s="162" t="s">
        <v>220</v>
      </c>
      <c r="V29" s="344" t="s">
        <v>50</v>
      </c>
      <c r="W29" s="159" t="s">
        <v>50</v>
      </c>
      <c r="X29" s="161" t="s">
        <v>244</v>
      </c>
      <c r="Y29" s="159" t="s">
        <v>31</v>
      </c>
      <c r="Z29" s="124" t="s">
        <v>51</v>
      </c>
      <c r="AA29" s="124" t="s">
        <v>101</v>
      </c>
      <c r="AB29" s="339">
        <v>45999</v>
      </c>
      <c r="AC29" s="110" t="s">
        <v>384</v>
      </c>
    </row>
    <row r="30" spans="1:29" ht="33.950000000000003" customHeight="1">
      <c r="A30" s="159" t="s">
        <v>16</v>
      </c>
      <c r="B30" s="337">
        <v>2512047</v>
      </c>
      <c r="C30" s="159" t="s">
        <v>82</v>
      </c>
      <c r="D30" s="161" t="s">
        <v>41</v>
      </c>
      <c r="E30" s="162" t="s">
        <v>235</v>
      </c>
      <c r="F30" s="130" t="s">
        <v>18</v>
      </c>
      <c r="G30" s="159" t="s">
        <v>19</v>
      </c>
      <c r="H30" s="163" t="s">
        <v>88</v>
      </c>
      <c r="I30" s="308">
        <v>5</v>
      </c>
      <c r="J30" s="308">
        <v>20</v>
      </c>
      <c r="K30" s="308">
        <v>20</v>
      </c>
      <c r="L30" s="308">
        <v>19</v>
      </c>
      <c r="M30" s="308">
        <v>10</v>
      </c>
      <c r="N30" s="308">
        <v>5</v>
      </c>
      <c r="O30" s="163"/>
      <c r="P30" s="164">
        <f t="shared" si="0"/>
        <v>79</v>
      </c>
      <c r="Q30" s="104">
        <v>46167</v>
      </c>
      <c r="R30" s="168" t="s">
        <v>443</v>
      </c>
      <c r="S30" s="104">
        <v>46172</v>
      </c>
      <c r="T30" s="166" t="s">
        <v>373</v>
      </c>
      <c r="U30" s="162" t="s">
        <v>221</v>
      </c>
      <c r="V30" s="344" t="s">
        <v>42</v>
      </c>
      <c r="W30" s="159" t="s">
        <v>42</v>
      </c>
      <c r="X30" s="161" t="s">
        <v>244</v>
      </c>
      <c r="Y30" s="159" t="s">
        <v>43</v>
      </c>
      <c r="Z30" s="124" t="s">
        <v>44</v>
      </c>
      <c r="AA30" s="124" t="s">
        <v>101</v>
      </c>
      <c r="AB30" s="339">
        <v>45999</v>
      </c>
      <c r="AC30" s="110" t="s">
        <v>385</v>
      </c>
    </row>
    <row r="31" spans="1:29" ht="48.75" customHeight="1">
      <c r="A31" s="133" t="s">
        <v>16</v>
      </c>
      <c r="B31" s="134">
        <v>2512047</v>
      </c>
      <c r="C31" s="134" t="s">
        <v>82</v>
      </c>
      <c r="D31" s="134" t="s">
        <v>45</v>
      </c>
      <c r="E31" s="135">
        <v>713954</v>
      </c>
      <c r="F31" s="136" t="s">
        <v>18</v>
      </c>
      <c r="G31" s="134" t="s">
        <v>19</v>
      </c>
      <c r="H31" s="134" t="s">
        <v>88</v>
      </c>
      <c r="I31" s="134">
        <v>8</v>
      </c>
      <c r="J31" s="137">
        <v>26</v>
      </c>
      <c r="K31" s="134">
        <v>76</v>
      </c>
      <c r="L31" s="134">
        <v>77</v>
      </c>
      <c r="M31" s="134">
        <v>50</v>
      </c>
      <c r="N31" s="134">
        <v>26</v>
      </c>
      <c r="O31" s="134"/>
      <c r="P31" s="164">
        <f t="shared" si="0"/>
        <v>263</v>
      </c>
      <c r="Q31" s="138">
        <v>46122</v>
      </c>
      <c r="R31" s="138" t="s">
        <v>382</v>
      </c>
      <c r="S31" s="138">
        <v>46127</v>
      </c>
      <c r="T31" s="139" t="s">
        <v>373</v>
      </c>
      <c r="U31" s="136" t="s">
        <v>222</v>
      </c>
      <c r="V31" s="136" t="s">
        <v>46</v>
      </c>
      <c r="W31" s="140"/>
      <c r="X31" s="161" t="s">
        <v>244</v>
      </c>
      <c r="Y31" s="139" t="s">
        <v>31</v>
      </c>
      <c r="Z31" s="139" t="s">
        <v>47</v>
      </c>
      <c r="AA31" s="139" t="s">
        <v>101</v>
      </c>
      <c r="AB31" s="141">
        <v>45999</v>
      </c>
      <c r="AC31" s="110" t="s">
        <v>372</v>
      </c>
    </row>
    <row r="32" spans="1:29" ht="33.75" customHeight="1">
      <c r="A32" s="133" t="s">
        <v>16</v>
      </c>
      <c r="B32" s="134">
        <v>2512047</v>
      </c>
      <c r="C32" s="134" t="s">
        <v>82</v>
      </c>
      <c r="D32" s="134" t="s">
        <v>45</v>
      </c>
      <c r="E32" s="135">
        <v>713954</v>
      </c>
      <c r="F32" s="136" t="s">
        <v>18</v>
      </c>
      <c r="G32" s="134" t="s">
        <v>19</v>
      </c>
      <c r="H32" s="134" t="s">
        <v>88</v>
      </c>
      <c r="I32" s="134"/>
      <c r="J32" s="137"/>
      <c r="K32" s="134"/>
      <c r="L32" s="134"/>
      <c r="M32" s="134"/>
      <c r="N32" s="134"/>
      <c r="O32" s="134">
        <v>2</v>
      </c>
      <c r="P32" s="164">
        <f t="shared" si="0"/>
        <v>2</v>
      </c>
      <c r="Q32" s="138">
        <v>46122</v>
      </c>
      <c r="R32" s="138" t="s">
        <v>382</v>
      </c>
      <c r="S32" s="138">
        <v>46127</v>
      </c>
      <c r="T32" s="139" t="s">
        <v>373</v>
      </c>
      <c r="U32" s="136" t="s">
        <v>222</v>
      </c>
      <c r="V32" s="136" t="s">
        <v>46</v>
      </c>
      <c r="W32" s="140"/>
      <c r="X32" s="161" t="s">
        <v>244</v>
      </c>
      <c r="Y32" s="139" t="s">
        <v>31</v>
      </c>
      <c r="Z32" s="139" t="s">
        <v>47</v>
      </c>
      <c r="AA32" s="139" t="s">
        <v>101</v>
      </c>
      <c r="AB32" s="141">
        <v>45999</v>
      </c>
      <c r="AC32" s="110" t="s">
        <v>372</v>
      </c>
    </row>
    <row r="33" spans="1:29" ht="52.5" customHeight="1">
      <c r="A33" s="133" t="s">
        <v>16</v>
      </c>
      <c r="B33" s="134">
        <v>2512047</v>
      </c>
      <c r="C33" s="134" t="s">
        <v>82</v>
      </c>
      <c r="D33" s="134" t="s">
        <v>92</v>
      </c>
      <c r="E33" s="135">
        <v>713954</v>
      </c>
      <c r="F33" s="136" t="s">
        <v>18</v>
      </c>
      <c r="G33" s="134" t="s">
        <v>19</v>
      </c>
      <c r="H33" s="134" t="s">
        <v>88</v>
      </c>
      <c r="I33" s="134"/>
      <c r="J33" s="137">
        <v>8</v>
      </c>
      <c r="K33" s="134">
        <v>16</v>
      </c>
      <c r="L33" s="134">
        <v>16</v>
      </c>
      <c r="M33" s="134">
        <v>12</v>
      </c>
      <c r="N33" s="134">
        <v>4</v>
      </c>
      <c r="O33" s="134"/>
      <c r="P33" s="164">
        <f t="shared" si="0"/>
        <v>56</v>
      </c>
      <c r="Q33" s="138">
        <v>46122</v>
      </c>
      <c r="R33" s="138" t="s">
        <v>382</v>
      </c>
      <c r="S33" s="138">
        <v>46127</v>
      </c>
      <c r="T33" s="139" t="s">
        <v>373</v>
      </c>
      <c r="U33" s="136" t="s">
        <v>223</v>
      </c>
      <c r="V33" s="136" t="s">
        <v>93</v>
      </c>
      <c r="W33" s="140" t="s">
        <v>94</v>
      </c>
      <c r="X33" s="161" t="s">
        <v>244</v>
      </c>
      <c r="Y33" s="139" t="s">
        <v>31</v>
      </c>
      <c r="Z33" s="139" t="s">
        <v>95</v>
      </c>
      <c r="AA33" s="139" t="s">
        <v>101</v>
      </c>
      <c r="AB33" s="141">
        <v>45999</v>
      </c>
      <c r="AC33" s="110" t="s">
        <v>372</v>
      </c>
    </row>
    <row r="34" spans="1:29" s="121" customFormat="1" ht="39.75" customHeight="1">
      <c r="A34" s="142" t="s">
        <v>16</v>
      </c>
      <c r="B34" s="143">
        <v>2512047</v>
      </c>
      <c r="C34" s="143" t="s">
        <v>82</v>
      </c>
      <c r="D34" s="143" t="s">
        <v>74</v>
      </c>
      <c r="E34" s="143">
        <v>713954</v>
      </c>
      <c r="F34" s="144" t="s">
        <v>18</v>
      </c>
      <c r="G34" s="143" t="s">
        <v>19</v>
      </c>
      <c r="H34" s="143" t="s">
        <v>88</v>
      </c>
      <c r="I34" s="143">
        <v>20</v>
      </c>
      <c r="J34" s="145">
        <v>81</v>
      </c>
      <c r="K34" s="143">
        <v>89</v>
      </c>
      <c r="L34" s="143">
        <v>69</v>
      </c>
      <c r="M34" s="143">
        <v>18</v>
      </c>
      <c r="N34" s="143">
        <v>8</v>
      </c>
      <c r="O34" s="143"/>
      <c r="P34" s="345">
        <f t="shared" si="0"/>
        <v>285</v>
      </c>
      <c r="Q34" s="355">
        <v>46137</v>
      </c>
      <c r="R34" s="127" t="s">
        <v>377</v>
      </c>
      <c r="S34" s="127">
        <v>46142</v>
      </c>
      <c r="T34" s="146" t="s">
        <v>373</v>
      </c>
      <c r="U34" s="144" t="s">
        <v>224</v>
      </c>
      <c r="V34" s="144" t="s">
        <v>75</v>
      </c>
      <c r="W34" s="147"/>
      <c r="X34" s="161" t="s">
        <v>244</v>
      </c>
      <c r="Y34" s="144" t="s">
        <v>76</v>
      </c>
      <c r="Z34" s="144" t="s">
        <v>77</v>
      </c>
      <c r="AA34" s="144" t="s">
        <v>101</v>
      </c>
      <c r="AB34" s="148">
        <v>46000</v>
      </c>
      <c r="AC34" s="121" t="s">
        <v>380</v>
      </c>
    </row>
    <row r="35" spans="1:29" ht="42.4" customHeight="1">
      <c r="A35" s="68" t="s">
        <v>16</v>
      </c>
      <c r="B35" s="346">
        <v>2512081</v>
      </c>
      <c r="C35" s="54">
        <v>70645</v>
      </c>
      <c r="D35" s="58" t="s">
        <v>256</v>
      </c>
      <c r="E35" s="60">
        <v>713954</v>
      </c>
      <c r="F35" s="60">
        <v>1</v>
      </c>
      <c r="G35" s="68" t="s">
        <v>19</v>
      </c>
      <c r="H35" s="60" t="s">
        <v>88</v>
      </c>
      <c r="I35" s="83">
        <v>126</v>
      </c>
      <c r="J35" s="83">
        <v>471</v>
      </c>
      <c r="K35" s="83">
        <v>814</v>
      </c>
      <c r="L35" s="83">
        <v>814</v>
      </c>
      <c r="M35" s="83">
        <v>482</v>
      </c>
      <c r="N35" s="83">
        <v>131</v>
      </c>
      <c r="O35" s="60"/>
      <c r="P35" s="164">
        <f t="shared" si="0"/>
        <v>2838</v>
      </c>
      <c r="Q35" s="186">
        <v>46137</v>
      </c>
      <c r="R35" s="343" t="s">
        <v>441</v>
      </c>
      <c r="S35" s="186">
        <v>46142</v>
      </c>
      <c r="T35" s="152" t="s">
        <v>373</v>
      </c>
      <c r="U35" s="60" t="s">
        <v>294</v>
      </c>
      <c r="V35" s="61" t="s">
        <v>257</v>
      </c>
      <c r="W35" s="61"/>
      <c r="X35" s="161" t="s">
        <v>244</v>
      </c>
      <c r="Y35" s="68" t="s">
        <v>258</v>
      </c>
      <c r="Z35" s="58" t="s">
        <v>259</v>
      </c>
      <c r="AA35" s="58" t="s">
        <v>101</v>
      </c>
      <c r="AB35" s="68">
        <v>46009</v>
      </c>
      <c r="AC35" s="129" t="s">
        <v>391</v>
      </c>
    </row>
    <row r="36" spans="1:29" ht="42.4" customHeight="1">
      <c r="A36" s="68" t="s">
        <v>16</v>
      </c>
      <c r="B36" s="346">
        <v>2512081</v>
      </c>
      <c r="C36" s="54">
        <v>70645</v>
      </c>
      <c r="D36" s="58" t="s">
        <v>249</v>
      </c>
      <c r="E36" s="60">
        <v>713954</v>
      </c>
      <c r="F36" s="60">
        <v>1</v>
      </c>
      <c r="G36" s="68" t="s">
        <v>19</v>
      </c>
      <c r="H36" s="60" t="s">
        <v>88</v>
      </c>
      <c r="I36" s="83">
        <v>56</v>
      </c>
      <c r="J36" s="83">
        <v>186</v>
      </c>
      <c r="K36" s="83">
        <v>242</v>
      </c>
      <c r="L36" s="83">
        <v>287</v>
      </c>
      <c r="M36" s="83">
        <v>132</v>
      </c>
      <c r="N36" s="83">
        <v>29</v>
      </c>
      <c r="O36" s="60"/>
      <c r="P36" s="164">
        <f t="shared" si="0"/>
        <v>932</v>
      </c>
      <c r="Q36" s="186">
        <v>46137</v>
      </c>
      <c r="R36" s="343" t="s">
        <v>444</v>
      </c>
      <c r="S36" s="186">
        <v>46142</v>
      </c>
      <c r="T36" s="152" t="s">
        <v>373</v>
      </c>
      <c r="U36" s="60" t="s">
        <v>295</v>
      </c>
      <c r="V36" s="61" t="s">
        <v>250</v>
      </c>
      <c r="W36" s="61"/>
      <c r="X36" s="161" t="s">
        <v>244</v>
      </c>
      <c r="Y36" s="68" t="s">
        <v>251</v>
      </c>
      <c r="Z36" s="58" t="s">
        <v>252</v>
      </c>
      <c r="AA36" s="58" t="s">
        <v>101</v>
      </c>
      <c r="AB36" s="68">
        <v>46009</v>
      </c>
      <c r="AC36" s="132" t="s">
        <v>391</v>
      </c>
    </row>
    <row r="37" spans="1:29" ht="42.4" customHeight="1">
      <c r="A37" s="68" t="s">
        <v>16</v>
      </c>
      <c r="B37" s="346">
        <v>2512081</v>
      </c>
      <c r="C37" s="54">
        <v>70645</v>
      </c>
      <c r="D37" s="58" t="s">
        <v>262</v>
      </c>
      <c r="E37" s="60">
        <v>713954</v>
      </c>
      <c r="F37" s="60">
        <v>1</v>
      </c>
      <c r="G37" s="68" t="s">
        <v>19</v>
      </c>
      <c r="H37" s="60" t="s">
        <v>88</v>
      </c>
      <c r="I37" s="60"/>
      <c r="J37" s="83">
        <v>16</v>
      </c>
      <c r="K37" s="83">
        <v>25</v>
      </c>
      <c r="L37" s="83">
        <v>32</v>
      </c>
      <c r="M37" s="83">
        <v>18</v>
      </c>
      <c r="N37" s="60"/>
      <c r="O37" s="60"/>
      <c r="P37" s="164">
        <f t="shared" si="0"/>
        <v>91</v>
      </c>
      <c r="Q37" s="186">
        <v>46137</v>
      </c>
      <c r="R37" s="343" t="s">
        <v>441</v>
      </c>
      <c r="S37" s="347">
        <v>46142</v>
      </c>
      <c r="T37" s="152" t="s">
        <v>373</v>
      </c>
      <c r="U37" s="60" t="s">
        <v>296</v>
      </c>
      <c r="V37" s="61" t="s">
        <v>263</v>
      </c>
      <c r="W37" s="61"/>
      <c r="X37" s="161" t="s">
        <v>244</v>
      </c>
      <c r="Y37" s="68" t="s">
        <v>264</v>
      </c>
      <c r="Z37" s="58" t="s">
        <v>265</v>
      </c>
      <c r="AA37" s="58" t="s">
        <v>101</v>
      </c>
      <c r="AB37" s="68">
        <v>46009</v>
      </c>
      <c r="AC37" s="132" t="s">
        <v>391</v>
      </c>
    </row>
    <row r="38" spans="1:29" ht="42.4" customHeight="1">
      <c r="A38" s="68" t="s">
        <v>16</v>
      </c>
      <c r="B38" s="346">
        <v>2512081</v>
      </c>
      <c r="C38" s="54">
        <v>70645</v>
      </c>
      <c r="D38" s="58" t="s">
        <v>238</v>
      </c>
      <c r="E38" s="60">
        <v>713954</v>
      </c>
      <c r="F38" s="60">
        <v>1</v>
      </c>
      <c r="G38" s="68" t="s">
        <v>19</v>
      </c>
      <c r="H38" s="60" t="s">
        <v>88</v>
      </c>
      <c r="I38" s="83">
        <v>120</v>
      </c>
      <c r="J38" s="83">
        <v>360</v>
      </c>
      <c r="K38" s="83">
        <v>480</v>
      </c>
      <c r="L38" s="83">
        <v>480</v>
      </c>
      <c r="M38" s="83">
        <v>300</v>
      </c>
      <c r="N38" s="83">
        <v>180</v>
      </c>
      <c r="O38" s="60"/>
      <c r="P38" s="164">
        <f t="shared" si="0"/>
        <v>1920</v>
      </c>
      <c r="Q38" s="186">
        <v>46137</v>
      </c>
      <c r="R38" s="343" t="s">
        <v>441</v>
      </c>
      <c r="S38" s="186">
        <v>46142</v>
      </c>
      <c r="T38" s="152" t="s">
        <v>373</v>
      </c>
      <c r="U38" s="60" t="s">
        <v>297</v>
      </c>
      <c r="V38" s="61" t="s">
        <v>239</v>
      </c>
      <c r="W38" s="61"/>
      <c r="X38" s="161" t="s">
        <v>244</v>
      </c>
      <c r="Y38" s="68" t="s">
        <v>239</v>
      </c>
      <c r="Z38" s="58" t="s">
        <v>241</v>
      </c>
      <c r="AA38" s="58" t="s">
        <v>101</v>
      </c>
      <c r="AB38" s="68">
        <v>46009</v>
      </c>
      <c r="AC38" s="132" t="s">
        <v>391</v>
      </c>
    </row>
    <row r="39" spans="1:29" ht="42.4" customHeight="1">
      <c r="A39" s="68" t="s">
        <v>16</v>
      </c>
      <c r="B39" s="346">
        <v>2512081</v>
      </c>
      <c r="C39" s="54">
        <v>70645</v>
      </c>
      <c r="D39" s="58" t="s">
        <v>238</v>
      </c>
      <c r="E39" s="60">
        <v>713954</v>
      </c>
      <c r="F39" s="60">
        <v>1</v>
      </c>
      <c r="G39" s="68" t="s">
        <v>19</v>
      </c>
      <c r="H39" s="60" t="s">
        <v>88</v>
      </c>
      <c r="I39" s="83">
        <v>480</v>
      </c>
      <c r="J39" s="83">
        <v>1080</v>
      </c>
      <c r="K39" s="83">
        <v>1140</v>
      </c>
      <c r="L39" s="83">
        <v>1320</v>
      </c>
      <c r="M39" s="83">
        <v>1020</v>
      </c>
      <c r="N39" s="83">
        <v>420</v>
      </c>
      <c r="O39" s="60"/>
      <c r="P39" s="164">
        <f t="shared" si="0"/>
        <v>5460</v>
      </c>
      <c r="Q39" s="186">
        <v>46137</v>
      </c>
      <c r="R39" s="343" t="s">
        <v>441</v>
      </c>
      <c r="S39" s="347">
        <v>46142</v>
      </c>
      <c r="T39" s="152" t="s">
        <v>373</v>
      </c>
      <c r="U39" s="60" t="s">
        <v>298</v>
      </c>
      <c r="V39" s="61" t="s">
        <v>239</v>
      </c>
      <c r="W39" s="61"/>
      <c r="X39" s="161" t="s">
        <v>244</v>
      </c>
      <c r="Y39" s="68" t="s">
        <v>239</v>
      </c>
      <c r="Z39" s="58" t="s">
        <v>241</v>
      </c>
      <c r="AA39" s="58" t="s">
        <v>101</v>
      </c>
      <c r="AB39" s="68">
        <v>46009</v>
      </c>
      <c r="AC39" s="132" t="s">
        <v>391</v>
      </c>
    </row>
    <row r="40" spans="1:29" ht="58.5" customHeight="1">
      <c r="A40" s="68" t="s">
        <v>16</v>
      </c>
      <c r="B40" s="346">
        <v>2512081</v>
      </c>
      <c r="C40" s="54">
        <v>70645</v>
      </c>
      <c r="D40" s="58" t="s">
        <v>238</v>
      </c>
      <c r="E40" s="60">
        <v>713954</v>
      </c>
      <c r="F40" s="60">
        <v>1</v>
      </c>
      <c r="G40" s="68" t="s">
        <v>19</v>
      </c>
      <c r="H40" s="60" t="s">
        <v>88</v>
      </c>
      <c r="I40" s="60"/>
      <c r="J40" s="60"/>
      <c r="K40" s="60"/>
      <c r="L40" s="60"/>
      <c r="M40" s="60"/>
      <c r="N40" s="60"/>
      <c r="O40" s="83">
        <v>120</v>
      </c>
      <c r="P40" s="164">
        <f t="shared" si="0"/>
        <v>120</v>
      </c>
      <c r="Q40" s="186">
        <v>46137</v>
      </c>
      <c r="R40" s="343" t="s">
        <v>441</v>
      </c>
      <c r="S40" s="347">
        <v>46142</v>
      </c>
      <c r="T40" s="152" t="s">
        <v>373</v>
      </c>
      <c r="U40" s="60" t="s">
        <v>298</v>
      </c>
      <c r="V40" s="61" t="s">
        <v>239</v>
      </c>
      <c r="W40" s="61"/>
      <c r="X40" s="161" t="s">
        <v>244</v>
      </c>
      <c r="Y40" s="68" t="s">
        <v>239</v>
      </c>
      <c r="Z40" s="58" t="s">
        <v>241</v>
      </c>
      <c r="AA40" s="58" t="s">
        <v>101</v>
      </c>
      <c r="AB40" s="68">
        <v>46009</v>
      </c>
      <c r="AC40" s="132" t="s">
        <v>391</v>
      </c>
    </row>
    <row r="41" spans="1:29" ht="42.4" customHeight="1">
      <c r="A41" s="68" t="s">
        <v>16</v>
      </c>
      <c r="B41" s="346">
        <v>2512081</v>
      </c>
      <c r="C41" s="54">
        <v>70645</v>
      </c>
      <c r="D41" s="58" t="s">
        <v>245</v>
      </c>
      <c r="E41" s="60">
        <v>713954</v>
      </c>
      <c r="F41" s="60">
        <v>1</v>
      </c>
      <c r="G41" s="68" t="s">
        <v>19</v>
      </c>
      <c r="H41" s="60" t="s">
        <v>88</v>
      </c>
      <c r="I41" s="83">
        <v>52</v>
      </c>
      <c r="J41" s="83">
        <v>118</v>
      </c>
      <c r="K41" s="83">
        <v>218</v>
      </c>
      <c r="L41" s="83">
        <v>210</v>
      </c>
      <c r="M41" s="83">
        <v>146</v>
      </c>
      <c r="N41" s="83">
        <v>43</v>
      </c>
      <c r="O41" s="60"/>
      <c r="P41" s="164">
        <f t="shared" si="0"/>
        <v>787</v>
      </c>
      <c r="Q41" s="186">
        <v>46137</v>
      </c>
      <c r="R41" s="343" t="s">
        <v>441</v>
      </c>
      <c r="S41" s="186">
        <v>46142</v>
      </c>
      <c r="T41" s="152" t="s">
        <v>373</v>
      </c>
      <c r="U41" s="60" t="s">
        <v>299</v>
      </c>
      <c r="V41" s="61" t="s">
        <v>246</v>
      </c>
      <c r="W41" s="61"/>
      <c r="X41" s="161" t="s">
        <v>244</v>
      </c>
      <c r="Y41" s="68" t="s">
        <v>247</v>
      </c>
      <c r="Z41" s="58" t="s">
        <v>248</v>
      </c>
      <c r="AA41" s="58" t="s">
        <v>101</v>
      </c>
      <c r="AB41" s="68">
        <v>46009</v>
      </c>
      <c r="AC41" s="110" t="s">
        <v>391</v>
      </c>
    </row>
    <row r="42" spans="1:29" ht="42.4" customHeight="1">
      <c r="A42" s="68" t="s">
        <v>16</v>
      </c>
      <c r="B42" s="346">
        <v>2512081</v>
      </c>
      <c r="C42" s="54">
        <v>70645</v>
      </c>
      <c r="D42" s="58" t="s">
        <v>253</v>
      </c>
      <c r="E42" s="60">
        <v>713954</v>
      </c>
      <c r="F42" s="60">
        <v>1</v>
      </c>
      <c r="G42" s="68" t="s">
        <v>19</v>
      </c>
      <c r="H42" s="60" t="s">
        <v>88</v>
      </c>
      <c r="I42" s="83">
        <v>17</v>
      </c>
      <c r="J42" s="83">
        <v>47</v>
      </c>
      <c r="K42" s="83">
        <v>53</v>
      </c>
      <c r="L42" s="83">
        <v>43</v>
      </c>
      <c r="M42" s="83">
        <v>31</v>
      </c>
      <c r="N42" s="83">
        <v>12</v>
      </c>
      <c r="O42" s="60"/>
      <c r="P42" s="164">
        <f t="shared" si="0"/>
        <v>203</v>
      </c>
      <c r="Q42" s="186">
        <v>46137</v>
      </c>
      <c r="R42" s="343" t="s">
        <v>441</v>
      </c>
      <c r="S42" s="186">
        <v>46142</v>
      </c>
      <c r="T42" s="152" t="s">
        <v>373</v>
      </c>
      <c r="U42" s="60" t="s">
        <v>300</v>
      </c>
      <c r="V42" s="61" t="s">
        <v>254</v>
      </c>
      <c r="W42" s="61"/>
      <c r="X42" s="161" t="s">
        <v>244</v>
      </c>
      <c r="Y42" s="68"/>
      <c r="Z42" s="58" t="s">
        <v>255</v>
      </c>
      <c r="AA42" s="58" t="s">
        <v>101</v>
      </c>
      <c r="AB42" s="68">
        <v>46009</v>
      </c>
      <c r="AC42" s="132" t="s">
        <v>391</v>
      </c>
    </row>
    <row r="43" spans="1:29" ht="42.4" customHeight="1">
      <c r="A43" s="68" t="s">
        <v>16</v>
      </c>
      <c r="B43" s="346">
        <v>2512081</v>
      </c>
      <c r="C43" s="54">
        <v>70645</v>
      </c>
      <c r="D43" s="58" t="s">
        <v>260</v>
      </c>
      <c r="E43" s="60">
        <v>713954</v>
      </c>
      <c r="F43" s="60">
        <v>1</v>
      </c>
      <c r="G43" s="68" t="s">
        <v>19</v>
      </c>
      <c r="H43" s="60" t="s">
        <v>88</v>
      </c>
      <c r="I43" s="83">
        <v>24</v>
      </c>
      <c r="J43" s="83">
        <v>39</v>
      </c>
      <c r="K43" s="83">
        <v>37</v>
      </c>
      <c r="L43" s="83">
        <v>20</v>
      </c>
      <c r="M43" s="83">
        <v>7</v>
      </c>
      <c r="N43" s="83">
        <v>1</v>
      </c>
      <c r="O43" s="60"/>
      <c r="P43" s="164">
        <f t="shared" si="0"/>
        <v>128</v>
      </c>
      <c r="Q43" s="186">
        <v>46137</v>
      </c>
      <c r="R43" s="186">
        <v>46142</v>
      </c>
      <c r="S43" s="186">
        <v>46142</v>
      </c>
      <c r="T43" s="152" t="s">
        <v>373</v>
      </c>
      <c r="U43" s="60" t="s">
        <v>334</v>
      </c>
      <c r="V43" s="60" t="s">
        <v>250</v>
      </c>
      <c r="W43" s="61" t="s">
        <v>261</v>
      </c>
      <c r="X43" s="161" t="s">
        <v>244</v>
      </c>
      <c r="Y43" s="58" t="s">
        <v>48</v>
      </c>
      <c r="Z43" s="58" t="s">
        <v>89</v>
      </c>
      <c r="AA43" s="58" t="s">
        <v>101</v>
      </c>
      <c r="AB43" s="68">
        <v>46009</v>
      </c>
    </row>
    <row r="44" spans="1:29" ht="42.4" customHeight="1">
      <c r="A44" s="68" t="s">
        <v>16</v>
      </c>
      <c r="B44" s="346">
        <v>2601009</v>
      </c>
      <c r="C44" s="54">
        <v>70645</v>
      </c>
      <c r="D44" s="58" t="s">
        <v>314</v>
      </c>
      <c r="E44" s="60" t="s">
        <v>235</v>
      </c>
      <c r="F44" s="60" t="s">
        <v>18</v>
      </c>
      <c r="G44" s="68" t="s">
        <v>19</v>
      </c>
      <c r="H44" s="60" t="s">
        <v>88</v>
      </c>
      <c r="I44" s="83">
        <v>2</v>
      </c>
      <c r="J44" s="83">
        <v>28</v>
      </c>
      <c r="K44" s="83">
        <v>42</v>
      </c>
      <c r="L44" s="83">
        <v>43</v>
      </c>
      <c r="M44" s="83">
        <v>23</v>
      </c>
      <c r="N44" s="83">
        <v>13</v>
      </c>
      <c r="O44" s="60"/>
      <c r="P44" s="164">
        <f t="shared" si="0"/>
        <v>151</v>
      </c>
      <c r="Q44" s="186">
        <v>46173</v>
      </c>
      <c r="R44" s="186">
        <v>46178</v>
      </c>
      <c r="S44" s="186">
        <v>46178</v>
      </c>
      <c r="T44" s="152" t="s">
        <v>373</v>
      </c>
      <c r="U44" s="60" t="s">
        <v>331</v>
      </c>
      <c r="V44" s="61" t="s">
        <v>28</v>
      </c>
      <c r="W44" s="68" t="s">
        <v>315</v>
      </c>
      <c r="X44" s="161" t="s">
        <v>244</v>
      </c>
      <c r="Y44" s="58" t="s">
        <v>316</v>
      </c>
      <c r="Z44" s="58" t="s">
        <v>317</v>
      </c>
      <c r="AA44" s="58" t="s">
        <v>101</v>
      </c>
      <c r="AB44" s="68">
        <v>46028</v>
      </c>
    </row>
    <row r="45" spans="1:29" ht="42.4" customHeight="1">
      <c r="A45" s="68" t="s">
        <v>16</v>
      </c>
      <c r="B45" s="346">
        <v>2601009</v>
      </c>
      <c r="C45" s="54">
        <v>70645</v>
      </c>
      <c r="D45" s="58" t="s">
        <v>314</v>
      </c>
      <c r="E45" s="60" t="s">
        <v>235</v>
      </c>
      <c r="F45" s="60" t="s">
        <v>18</v>
      </c>
      <c r="G45" s="68" t="s">
        <v>19</v>
      </c>
      <c r="H45" s="60" t="s">
        <v>88</v>
      </c>
      <c r="I45" s="60"/>
      <c r="J45" s="60"/>
      <c r="K45" s="60"/>
      <c r="L45" s="60"/>
      <c r="M45" s="60"/>
      <c r="N45" s="60"/>
      <c r="O45" s="83">
        <v>1</v>
      </c>
      <c r="P45" s="164">
        <f t="shared" si="0"/>
        <v>1</v>
      </c>
      <c r="Q45" s="186">
        <v>46173</v>
      </c>
      <c r="R45" s="186">
        <v>46178</v>
      </c>
      <c r="S45" s="186">
        <v>46178</v>
      </c>
      <c r="T45" s="152" t="s">
        <v>373</v>
      </c>
      <c r="U45" s="60" t="s">
        <v>331</v>
      </c>
      <c r="V45" s="61" t="s">
        <v>28</v>
      </c>
      <c r="W45" s="68" t="s">
        <v>315</v>
      </c>
      <c r="X45" s="161" t="s">
        <v>244</v>
      </c>
      <c r="Y45" s="58" t="s">
        <v>316</v>
      </c>
      <c r="Z45" s="58" t="s">
        <v>317</v>
      </c>
      <c r="AA45" s="58" t="s">
        <v>101</v>
      </c>
      <c r="AB45" s="68">
        <v>46028</v>
      </c>
    </row>
    <row r="46" spans="1:29" ht="27" customHeight="1">
      <c r="A46" s="68" t="s">
        <v>16</v>
      </c>
      <c r="B46" s="346">
        <v>2601009</v>
      </c>
      <c r="C46" s="54">
        <v>70645</v>
      </c>
      <c r="D46" s="58" t="s">
        <v>314</v>
      </c>
      <c r="E46" s="60" t="s">
        <v>235</v>
      </c>
      <c r="F46" s="60" t="s">
        <v>18</v>
      </c>
      <c r="G46" s="68" t="s">
        <v>19</v>
      </c>
      <c r="H46" s="60" t="s">
        <v>88</v>
      </c>
      <c r="I46" s="83">
        <v>2</v>
      </c>
      <c r="J46" s="83">
        <v>12</v>
      </c>
      <c r="K46" s="83">
        <v>24</v>
      </c>
      <c r="L46" s="83">
        <v>24</v>
      </c>
      <c r="M46" s="83">
        <v>12</v>
      </c>
      <c r="N46" s="60"/>
      <c r="O46" s="60"/>
      <c r="P46" s="164">
        <f t="shared" si="0"/>
        <v>74</v>
      </c>
      <c r="Q46" s="186">
        <v>46203</v>
      </c>
      <c r="R46" s="186">
        <v>46208</v>
      </c>
      <c r="S46" s="186">
        <v>46208</v>
      </c>
      <c r="T46" s="152" t="s">
        <v>373</v>
      </c>
      <c r="U46" s="60" t="s">
        <v>332</v>
      </c>
      <c r="V46" s="61" t="s">
        <v>28</v>
      </c>
      <c r="W46" s="68" t="s">
        <v>315</v>
      </c>
      <c r="X46" s="161" t="s">
        <v>244</v>
      </c>
      <c r="Y46" s="58" t="s">
        <v>316</v>
      </c>
      <c r="Z46" s="58" t="s">
        <v>317</v>
      </c>
      <c r="AA46" s="58" t="s">
        <v>101</v>
      </c>
      <c r="AB46" s="68">
        <v>46028</v>
      </c>
    </row>
    <row r="47" spans="1:29" s="379" customFormat="1" ht="42.4" customHeight="1">
      <c r="A47" s="369" t="s">
        <v>16</v>
      </c>
      <c r="B47" s="370">
        <v>2602029</v>
      </c>
      <c r="C47" s="370">
        <v>70645</v>
      </c>
      <c r="D47" s="371" t="s">
        <v>407</v>
      </c>
      <c r="E47" s="370">
        <v>713954</v>
      </c>
      <c r="F47" s="372" t="s">
        <v>18</v>
      </c>
      <c r="G47" s="369" t="s">
        <v>19</v>
      </c>
      <c r="H47" s="373" t="s">
        <v>88</v>
      </c>
      <c r="I47" s="373"/>
      <c r="J47" s="374">
        <v>13</v>
      </c>
      <c r="K47" s="374">
        <v>20</v>
      </c>
      <c r="L47" s="374">
        <v>19</v>
      </c>
      <c r="M47" s="374">
        <v>11</v>
      </c>
      <c r="N47" s="373"/>
      <c r="O47" s="373"/>
      <c r="P47" s="375">
        <v>63</v>
      </c>
      <c r="Q47" s="376">
        <v>46208</v>
      </c>
      <c r="R47" s="380" t="s">
        <v>439</v>
      </c>
      <c r="S47" s="376">
        <v>46218</v>
      </c>
      <c r="T47" s="377" t="s">
        <v>373</v>
      </c>
      <c r="U47" s="372" t="s">
        <v>408</v>
      </c>
      <c r="V47" s="378" t="s">
        <v>409</v>
      </c>
      <c r="W47" s="378"/>
      <c r="X47" s="369" t="s">
        <v>244</v>
      </c>
      <c r="Y47" s="369"/>
      <c r="Z47" s="371" t="s">
        <v>410</v>
      </c>
      <c r="AA47" s="371" t="s">
        <v>101</v>
      </c>
      <c r="AB47" s="369">
        <v>46057</v>
      </c>
      <c r="AC47" s="379" t="s">
        <v>446</v>
      </c>
    </row>
    <row r="48" spans="1:29" s="379" customFormat="1" ht="42.4" customHeight="1">
      <c r="A48" s="369" t="s">
        <v>16</v>
      </c>
      <c r="B48" s="370">
        <v>2602029</v>
      </c>
      <c r="C48" s="370">
        <v>70645</v>
      </c>
      <c r="D48" s="371" t="s">
        <v>407</v>
      </c>
      <c r="E48" s="370">
        <v>713954</v>
      </c>
      <c r="F48" s="372" t="s">
        <v>18</v>
      </c>
      <c r="G48" s="369" t="s">
        <v>19</v>
      </c>
      <c r="H48" s="373" t="s">
        <v>88</v>
      </c>
      <c r="I48" s="373"/>
      <c r="J48" s="373"/>
      <c r="K48" s="374">
        <v>225</v>
      </c>
      <c r="L48" s="374">
        <v>226</v>
      </c>
      <c r="M48" s="374">
        <v>113</v>
      </c>
      <c r="N48" s="373"/>
      <c r="O48" s="373"/>
      <c r="P48" s="375">
        <v>564</v>
      </c>
      <c r="Q48" s="376">
        <v>46218</v>
      </c>
      <c r="R48" s="380" t="s">
        <v>445</v>
      </c>
      <c r="S48" s="376">
        <v>46228</v>
      </c>
      <c r="T48" s="377" t="s">
        <v>373</v>
      </c>
      <c r="U48" s="372" t="s">
        <v>411</v>
      </c>
      <c r="V48" s="378" t="s">
        <v>409</v>
      </c>
      <c r="W48" s="378"/>
      <c r="X48" s="369" t="s">
        <v>244</v>
      </c>
      <c r="Y48" s="369"/>
      <c r="Z48" s="371" t="s">
        <v>410</v>
      </c>
      <c r="AA48" s="371" t="s">
        <v>101</v>
      </c>
      <c r="AB48" s="369">
        <v>46057</v>
      </c>
      <c r="AC48" s="379" t="s">
        <v>446</v>
      </c>
    </row>
    <row r="49" spans="1:29" s="379" customFormat="1" ht="42.4" customHeight="1">
      <c r="A49" s="369" t="s">
        <v>16</v>
      </c>
      <c r="B49" s="370">
        <v>2602029</v>
      </c>
      <c r="C49" s="370">
        <v>70645</v>
      </c>
      <c r="D49" s="371" t="s">
        <v>407</v>
      </c>
      <c r="E49" s="370">
        <v>713954</v>
      </c>
      <c r="F49" s="372" t="s">
        <v>18</v>
      </c>
      <c r="G49" s="369" t="s">
        <v>19</v>
      </c>
      <c r="H49" s="373" t="s">
        <v>88</v>
      </c>
      <c r="I49" s="373"/>
      <c r="J49" s="374">
        <v>172</v>
      </c>
      <c r="K49" s="374">
        <v>172</v>
      </c>
      <c r="L49" s="374">
        <v>115</v>
      </c>
      <c r="M49" s="374">
        <v>115</v>
      </c>
      <c r="N49" s="373"/>
      <c r="O49" s="373"/>
      <c r="P49" s="375">
        <v>574</v>
      </c>
      <c r="Q49" s="376">
        <v>46208</v>
      </c>
      <c r="R49" s="380" t="s">
        <v>439</v>
      </c>
      <c r="S49" s="376">
        <v>46218</v>
      </c>
      <c r="T49" s="377" t="s">
        <v>373</v>
      </c>
      <c r="U49" s="372" t="s">
        <v>412</v>
      </c>
      <c r="V49" s="378" t="s">
        <v>409</v>
      </c>
      <c r="W49" s="378"/>
      <c r="X49" s="369" t="s">
        <v>244</v>
      </c>
      <c r="Y49" s="369"/>
      <c r="Z49" s="371" t="s">
        <v>410</v>
      </c>
      <c r="AA49" s="371" t="s">
        <v>101</v>
      </c>
      <c r="AB49" s="369">
        <v>46057</v>
      </c>
      <c r="AC49" s="379" t="s">
        <v>446</v>
      </c>
    </row>
    <row r="50" spans="1:29">
      <c r="A50" s="348"/>
      <c r="B50" s="349"/>
      <c r="C50" s="171"/>
      <c r="D50" s="178"/>
      <c r="E50" s="176"/>
      <c r="F50" s="176"/>
      <c r="G50" s="348"/>
      <c r="H50" s="176"/>
      <c r="I50" s="350"/>
      <c r="J50" s="350"/>
      <c r="K50" s="350"/>
      <c r="L50" s="350"/>
      <c r="M50" s="350"/>
      <c r="N50" s="176"/>
      <c r="O50" s="176"/>
      <c r="P50" s="351"/>
      <c r="Q50" s="352"/>
      <c r="R50" s="352"/>
      <c r="S50" s="352"/>
      <c r="T50" s="169"/>
      <c r="U50" s="176"/>
      <c r="V50" s="177"/>
      <c r="W50" s="177"/>
      <c r="X50" s="348"/>
      <c r="Y50" s="178"/>
      <c r="Z50" s="178"/>
      <c r="AA50" s="178"/>
      <c r="AB50" s="348"/>
    </row>
    <row r="51" spans="1:29" ht="39.75" customHeight="1">
      <c r="I51" s="353"/>
      <c r="J51" s="353"/>
      <c r="K51" s="353"/>
      <c r="L51" s="353"/>
      <c r="M51" s="353"/>
      <c r="N51" s="353"/>
      <c r="O51" s="353"/>
    </row>
    <row r="52" spans="1:29" ht="42.4" customHeight="1">
      <c r="P52" s="354">
        <f>SUM(P7:P49)</f>
        <v>18776</v>
      </c>
    </row>
    <row r="53" spans="1:29" ht="42.4" customHeight="1"/>
  </sheetData>
  <autoFilter ref="A6:AG6"/>
  <mergeCells count="3">
    <mergeCell ref="A2:D2"/>
    <mergeCell ref="A4:D4"/>
    <mergeCell ref="AC15:AG15"/>
  </mergeCells>
  <pageMargins left="0" right="0" top="0.39370078740157483" bottom="0.39370078740157483" header="0.31496062992125984" footer="0.31496062992125984"/>
  <pageSetup paperSize="8" scale="27" orientation="landscape" r:id="rId1"/>
  <headerFooter>
    <oddFooter>&amp;C第 &amp;P 页，共 &amp;N 页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D59"/>
  <sheetViews>
    <sheetView view="pageBreakPreview" topLeftCell="A43" zoomScale="60" zoomScaleNormal="60" workbookViewId="0">
      <selection activeCell="Q68" sqref="Q68"/>
    </sheetView>
  </sheetViews>
  <sheetFormatPr defaultColWidth="9" defaultRowHeight="20.25"/>
  <cols>
    <col min="1" max="1" width="10.28515625" style="272" customWidth="1"/>
    <col min="2" max="2" width="16" style="272" customWidth="1"/>
    <col min="3" max="3" width="17" style="272" customWidth="1"/>
    <col min="4" max="4" width="15.85546875" style="271" customWidth="1"/>
    <col min="5" max="5" width="14.85546875" style="272" customWidth="1"/>
    <col min="6" max="6" width="12.140625" style="272" customWidth="1"/>
    <col min="7" max="7" width="18.85546875" style="272" customWidth="1"/>
    <col min="8" max="9" width="14.28515625" style="273" customWidth="1"/>
    <col min="10" max="10" width="11.140625" style="273" customWidth="1"/>
    <col min="11" max="11" width="9" style="273" customWidth="1"/>
    <col min="12" max="12" width="10.85546875" style="273" customWidth="1"/>
    <col min="13" max="13" width="9" style="273" customWidth="1"/>
    <col min="14" max="14" width="10.5703125" style="273" customWidth="1"/>
    <col min="15" max="15" width="10.42578125" style="273" customWidth="1"/>
    <col min="16" max="16" width="15.140625" style="274" customWidth="1"/>
    <col min="17" max="17" width="9" style="273" customWidth="1"/>
    <col min="18" max="18" width="21.28515625" style="273" customWidth="1"/>
    <col min="19" max="19" width="19.7109375" style="273" customWidth="1"/>
    <col min="20" max="20" width="20.140625" style="273" customWidth="1"/>
    <col min="21" max="21" width="10.140625" style="274" customWidth="1"/>
    <col min="22" max="22" width="26" style="274" customWidth="1"/>
    <col min="23" max="23" width="12.5703125" style="273" customWidth="1"/>
    <col min="24" max="24" width="12.5703125" style="275" customWidth="1"/>
    <col min="25" max="25" width="18.28515625" style="272" customWidth="1"/>
    <col min="26" max="26" width="14.85546875" style="272" customWidth="1"/>
    <col min="27" max="27" width="29.140625" style="276" customWidth="1"/>
    <col min="28" max="28" width="16.28515625" style="276" customWidth="1"/>
    <col min="29" max="29" width="16.7109375" style="276" customWidth="1"/>
    <col min="30" max="16384" width="9" style="101"/>
  </cols>
  <sheetData>
    <row r="1" spans="1:30">
      <c r="A1" s="270" t="s">
        <v>337</v>
      </c>
      <c r="B1" s="270"/>
      <c r="C1" s="270"/>
    </row>
    <row r="2" spans="1:30" ht="25.5" customHeight="1">
      <c r="A2" s="385" t="s">
        <v>86</v>
      </c>
      <c r="B2" s="385"/>
      <c r="C2" s="385"/>
      <c r="D2" s="385"/>
      <c r="E2" s="277"/>
      <c r="F2" s="277"/>
      <c r="G2" s="277"/>
      <c r="N2" s="278"/>
      <c r="O2" s="273" t="s">
        <v>338</v>
      </c>
      <c r="P2" s="279"/>
      <c r="Q2" s="280"/>
      <c r="R2" s="273" t="s">
        <v>432</v>
      </c>
      <c r="S2" s="281"/>
      <c r="T2" s="281"/>
      <c r="U2" s="282" t="s">
        <v>340</v>
      </c>
      <c r="W2" s="272"/>
      <c r="AA2" s="283"/>
      <c r="AB2" s="283"/>
      <c r="AC2" s="283"/>
    </row>
    <row r="3" spans="1:30" ht="25.5" customHeight="1">
      <c r="A3" s="284" t="s">
        <v>81</v>
      </c>
      <c r="B3" s="284"/>
      <c r="C3" s="284"/>
      <c r="E3" s="277"/>
      <c r="F3" s="285"/>
      <c r="G3" s="277"/>
      <c r="N3" s="286"/>
      <c r="O3" s="273" t="s">
        <v>341</v>
      </c>
      <c r="P3" s="287"/>
      <c r="Q3" s="288"/>
      <c r="R3" s="273" t="s">
        <v>342</v>
      </c>
      <c r="S3" s="281"/>
      <c r="T3" s="281"/>
      <c r="U3" s="289" t="s">
        <v>343</v>
      </c>
      <c r="W3" s="272"/>
      <c r="AA3" s="283"/>
      <c r="AB3" s="283"/>
      <c r="AC3" s="283"/>
    </row>
    <row r="4" spans="1:30" ht="75.75" customHeight="1">
      <c r="A4" s="385" t="s">
        <v>84</v>
      </c>
      <c r="B4" s="385"/>
      <c r="C4" s="385"/>
      <c r="D4" s="385"/>
      <c r="E4" s="277"/>
      <c r="F4" s="277"/>
      <c r="G4" s="277"/>
      <c r="H4" s="290"/>
      <c r="I4" s="290"/>
      <c r="N4" s="291"/>
      <c r="O4" s="273" t="s">
        <v>344</v>
      </c>
      <c r="P4" s="292"/>
      <c r="Q4" s="293"/>
      <c r="R4" s="273" t="s">
        <v>433</v>
      </c>
      <c r="S4" s="281"/>
      <c r="T4" s="281"/>
      <c r="U4" s="289" t="s">
        <v>346</v>
      </c>
      <c r="W4" s="272"/>
      <c r="AA4" s="283"/>
      <c r="AB4" s="283"/>
      <c r="AC4" s="283"/>
    </row>
    <row r="5" spans="1:30" ht="18.75" customHeight="1">
      <c r="A5" s="270" t="s">
        <v>347</v>
      </c>
      <c r="B5" s="270"/>
      <c r="C5" s="270"/>
      <c r="E5" s="294"/>
      <c r="F5" s="294"/>
      <c r="G5" s="294"/>
      <c r="N5" s="275"/>
      <c r="O5" s="275"/>
      <c r="P5" s="295"/>
      <c r="Q5" s="275"/>
      <c r="R5" s="275"/>
      <c r="S5" s="275"/>
      <c r="T5" s="275"/>
      <c r="U5" s="296" t="s">
        <v>348</v>
      </c>
      <c r="W5" s="272"/>
      <c r="AA5" s="297"/>
      <c r="AB5" s="297"/>
      <c r="AC5" s="297"/>
    </row>
    <row r="6" spans="1:30" ht="60.75" customHeight="1">
      <c r="A6" s="298" t="s">
        <v>349</v>
      </c>
      <c r="B6" s="298" t="s">
        <v>350</v>
      </c>
      <c r="C6" s="299" t="s">
        <v>351</v>
      </c>
      <c r="D6" s="299" t="s">
        <v>352</v>
      </c>
      <c r="E6" s="300" t="s">
        <v>353</v>
      </c>
      <c r="F6" s="300" t="s">
        <v>0</v>
      </c>
      <c r="G6" s="300" t="s">
        <v>354</v>
      </c>
      <c r="H6" s="300" t="s">
        <v>355</v>
      </c>
      <c r="I6" s="301" t="s">
        <v>78</v>
      </c>
      <c r="J6" s="302" t="s">
        <v>1</v>
      </c>
      <c r="K6" s="302" t="s">
        <v>2</v>
      </c>
      <c r="L6" s="302" t="s">
        <v>3</v>
      </c>
      <c r="M6" s="302" t="s">
        <v>4</v>
      </c>
      <c r="N6" s="302" t="s">
        <v>5</v>
      </c>
      <c r="O6" s="302" t="s">
        <v>6</v>
      </c>
      <c r="P6" s="302" t="s">
        <v>7</v>
      </c>
      <c r="Q6" s="302" t="s">
        <v>356</v>
      </c>
      <c r="R6" s="303" t="s">
        <v>357</v>
      </c>
      <c r="S6" s="303" t="s">
        <v>8</v>
      </c>
      <c r="T6" s="304" t="s">
        <v>367</v>
      </c>
      <c r="U6" s="303" t="s">
        <v>9</v>
      </c>
      <c r="V6" s="305" t="s">
        <v>358</v>
      </c>
      <c r="W6" s="303" t="s">
        <v>10</v>
      </c>
      <c r="X6" s="303" t="s">
        <v>11</v>
      </c>
      <c r="Y6" s="303" t="s">
        <v>359</v>
      </c>
      <c r="Z6" s="303" t="s">
        <v>360</v>
      </c>
      <c r="AA6" s="303" t="s">
        <v>12</v>
      </c>
      <c r="AB6" s="306" t="s">
        <v>237</v>
      </c>
      <c r="AC6" s="307" t="s">
        <v>361</v>
      </c>
      <c r="AD6" s="101" t="s">
        <v>13</v>
      </c>
    </row>
    <row r="7" spans="1:30" s="102" customFormat="1" ht="46.15" customHeight="1">
      <c r="A7" s="159" t="s">
        <v>16</v>
      </c>
      <c r="B7" s="160">
        <v>2512046</v>
      </c>
      <c r="C7" s="163">
        <v>70644</v>
      </c>
      <c r="D7" s="161" t="s">
        <v>92</v>
      </c>
      <c r="E7" s="160">
        <v>713953</v>
      </c>
      <c r="F7" s="163" t="s">
        <v>18</v>
      </c>
      <c r="G7" s="159" t="s">
        <v>19</v>
      </c>
      <c r="H7" s="163" t="s">
        <v>88</v>
      </c>
      <c r="I7" s="163"/>
      <c r="J7" s="308">
        <v>8</v>
      </c>
      <c r="K7" s="308">
        <v>16</v>
      </c>
      <c r="L7" s="308">
        <v>16</v>
      </c>
      <c r="M7" s="308">
        <v>12</v>
      </c>
      <c r="N7" s="308">
        <v>4</v>
      </c>
      <c r="O7" s="163"/>
      <c r="P7" s="309">
        <f>SUM(I7:O7)</f>
        <v>56</v>
      </c>
      <c r="Q7" s="163"/>
      <c r="R7" s="165">
        <v>46122</v>
      </c>
      <c r="S7" s="165">
        <v>46127</v>
      </c>
      <c r="T7" s="105"/>
      <c r="U7" s="166" t="s">
        <v>373</v>
      </c>
      <c r="V7" s="166" t="s">
        <v>177</v>
      </c>
      <c r="W7" s="163" t="s">
        <v>93</v>
      </c>
      <c r="X7" s="167" t="s">
        <v>94</v>
      </c>
      <c r="Y7" s="161" t="s">
        <v>244</v>
      </c>
      <c r="Z7" s="159" t="s">
        <v>31</v>
      </c>
      <c r="AA7" s="159" t="s">
        <v>95</v>
      </c>
      <c r="AB7" s="50" t="s">
        <v>89</v>
      </c>
      <c r="AC7" s="159">
        <v>45999</v>
      </c>
    </row>
    <row r="8" spans="1:30" s="102" customFormat="1" ht="46.15" customHeight="1">
      <c r="A8" s="159" t="s">
        <v>16</v>
      </c>
      <c r="B8" s="160">
        <v>2512046</v>
      </c>
      <c r="C8" s="163">
        <v>70644</v>
      </c>
      <c r="D8" s="161" t="s">
        <v>23</v>
      </c>
      <c r="E8" s="160">
        <v>713953</v>
      </c>
      <c r="F8" s="163" t="s">
        <v>18</v>
      </c>
      <c r="G8" s="159" t="s">
        <v>19</v>
      </c>
      <c r="H8" s="163" t="s">
        <v>88</v>
      </c>
      <c r="I8" s="163"/>
      <c r="J8" s="308">
        <v>10</v>
      </c>
      <c r="K8" s="308">
        <v>12</v>
      </c>
      <c r="L8" s="308">
        <v>12</v>
      </c>
      <c r="M8" s="308">
        <v>10</v>
      </c>
      <c r="N8" s="308">
        <v>7</v>
      </c>
      <c r="O8" s="163"/>
      <c r="P8" s="309">
        <f>SUM(I8:O8)</f>
        <v>51</v>
      </c>
      <c r="Q8" s="163"/>
      <c r="R8" s="165">
        <v>46122</v>
      </c>
      <c r="S8" s="165">
        <v>46127</v>
      </c>
      <c r="T8" s="105"/>
      <c r="U8" s="166" t="s">
        <v>373</v>
      </c>
      <c r="V8" s="166" t="s">
        <v>178</v>
      </c>
      <c r="W8" s="163" t="s">
        <v>24</v>
      </c>
      <c r="X8" s="167" t="s">
        <v>25</v>
      </c>
      <c r="Y8" s="161" t="s">
        <v>244</v>
      </c>
      <c r="Z8" s="159" t="s">
        <v>26</v>
      </c>
      <c r="AA8" s="159" t="s">
        <v>27</v>
      </c>
      <c r="AB8" s="50" t="s">
        <v>89</v>
      </c>
      <c r="AC8" s="159">
        <v>45999</v>
      </c>
    </row>
    <row r="9" spans="1:30" s="102" customFormat="1" ht="46.15" customHeight="1">
      <c r="A9" s="159" t="s">
        <v>16</v>
      </c>
      <c r="B9" s="160">
        <v>2512046</v>
      </c>
      <c r="C9" s="163">
        <v>70644</v>
      </c>
      <c r="D9" s="161" t="s">
        <v>49</v>
      </c>
      <c r="E9" s="160">
        <v>713953</v>
      </c>
      <c r="F9" s="163" t="s">
        <v>18</v>
      </c>
      <c r="G9" s="159" t="s">
        <v>19</v>
      </c>
      <c r="H9" s="163" t="s">
        <v>88</v>
      </c>
      <c r="I9" s="308">
        <v>5</v>
      </c>
      <c r="J9" s="308">
        <v>20</v>
      </c>
      <c r="K9" s="308">
        <v>39</v>
      </c>
      <c r="L9" s="308">
        <v>36</v>
      </c>
      <c r="M9" s="308">
        <v>19</v>
      </c>
      <c r="N9" s="308">
        <v>8</v>
      </c>
      <c r="O9" s="163"/>
      <c r="P9" s="166">
        <f t="shared" ref="P9:P47" si="0">SUM(I9:O9)</f>
        <v>127</v>
      </c>
      <c r="Q9" s="163"/>
      <c r="R9" s="165">
        <v>46127</v>
      </c>
      <c r="S9" s="165">
        <v>46132</v>
      </c>
      <c r="T9" s="105"/>
      <c r="U9" s="166" t="s">
        <v>373</v>
      </c>
      <c r="V9" s="166" t="s">
        <v>179</v>
      </c>
      <c r="W9" s="163" t="s">
        <v>50</v>
      </c>
      <c r="X9" s="167" t="s">
        <v>111</v>
      </c>
      <c r="Y9" s="161" t="s">
        <v>244</v>
      </c>
      <c r="Z9" s="159" t="s">
        <v>31</v>
      </c>
      <c r="AA9" s="159" t="s">
        <v>51</v>
      </c>
      <c r="AB9" s="50" t="s">
        <v>89</v>
      </c>
      <c r="AC9" s="159">
        <v>45999</v>
      </c>
    </row>
    <row r="10" spans="1:30" s="102" customFormat="1" ht="46.15" customHeight="1">
      <c r="A10" s="159" t="s">
        <v>16</v>
      </c>
      <c r="B10" s="160">
        <v>2512046</v>
      </c>
      <c r="C10" s="163">
        <v>70644</v>
      </c>
      <c r="D10" s="161" t="s">
        <v>53</v>
      </c>
      <c r="E10" s="160">
        <v>713953</v>
      </c>
      <c r="F10" s="163" t="s">
        <v>18</v>
      </c>
      <c r="G10" s="159" t="s">
        <v>19</v>
      </c>
      <c r="H10" s="163" t="s">
        <v>88</v>
      </c>
      <c r="I10" s="163"/>
      <c r="J10" s="308">
        <v>12</v>
      </c>
      <c r="K10" s="308">
        <v>12</v>
      </c>
      <c r="L10" s="308">
        <v>12</v>
      </c>
      <c r="M10" s="308">
        <v>12</v>
      </c>
      <c r="N10" s="308">
        <v>6</v>
      </c>
      <c r="O10" s="163"/>
      <c r="P10" s="166">
        <f t="shared" si="0"/>
        <v>54</v>
      </c>
      <c r="Q10" s="163"/>
      <c r="R10" s="165">
        <v>46122</v>
      </c>
      <c r="S10" s="165">
        <v>46127</v>
      </c>
      <c r="T10" s="105"/>
      <c r="U10" s="166" t="s">
        <v>373</v>
      </c>
      <c r="V10" s="166" t="s">
        <v>180</v>
      </c>
      <c r="W10" s="163" t="s">
        <v>28</v>
      </c>
      <c r="X10" s="167" t="s">
        <v>54</v>
      </c>
      <c r="Y10" s="161" t="s">
        <v>244</v>
      </c>
      <c r="Z10" s="159" t="s">
        <v>26</v>
      </c>
      <c r="AA10" s="159" t="s">
        <v>55</v>
      </c>
      <c r="AB10" s="50" t="s">
        <v>89</v>
      </c>
      <c r="AC10" s="159">
        <v>45999</v>
      </c>
    </row>
    <row r="11" spans="1:30" s="102" customFormat="1" ht="46.15" customHeight="1">
      <c r="A11" s="159" t="s">
        <v>16</v>
      </c>
      <c r="B11" s="160">
        <v>2512046</v>
      </c>
      <c r="C11" s="163">
        <v>70644</v>
      </c>
      <c r="D11" s="161" t="s">
        <v>29</v>
      </c>
      <c r="E11" s="160">
        <v>713953</v>
      </c>
      <c r="F11" s="163" t="s">
        <v>18</v>
      </c>
      <c r="G11" s="159" t="s">
        <v>19</v>
      </c>
      <c r="H11" s="163" t="s">
        <v>88</v>
      </c>
      <c r="I11" s="308">
        <v>3</v>
      </c>
      <c r="J11" s="308">
        <v>7</v>
      </c>
      <c r="K11" s="308">
        <v>15</v>
      </c>
      <c r="L11" s="308">
        <v>15</v>
      </c>
      <c r="M11" s="308">
        <v>8</v>
      </c>
      <c r="N11" s="308">
        <v>2</v>
      </c>
      <c r="O11" s="163"/>
      <c r="P11" s="166">
        <f t="shared" si="0"/>
        <v>50</v>
      </c>
      <c r="Q11" s="163"/>
      <c r="R11" s="165">
        <v>46142</v>
      </c>
      <c r="S11" s="165">
        <v>46147</v>
      </c>
      <c r="T11" s="105"/>
      <c r="U11" s="166" t="s">
        <v>373</v>
      </c>
      <c r="V11" s="166" t="s">
        <v>181</v>
      </c>
      <c r="W11" s="163" t="s">
        <v>30</v>
      </c>
      <c r="X11" s="167" t="s">
        <v>30</v>
      </c>
      <c r="Y11" s="161" t="s">
        <v>244</v>
      </c>
      <c r="Z11" s="159" t="s">
        <v>31</v>
      </c>
      <c r="AA11" s="159" t="s">
        <v>32</v>
      </c>
      <c r="AB11" s="50" t="s">
        <v>89</v>
      </c>
      <c r="AC11" s="159">
        <v>45999</v>
      </c>
    </row>
    <row r="12" spans="1:30" s="102" customFormat="1" ht="46.15" customHeight="1">
      <c r="A12" s="159" t="s">
        <v>16</v>
      </c>
      <c r="B12" s="160">
        <v>2512046</v>
      </c>
      <c r="C12" s="163">
        <v>70644</v>
      </c>
      <c r="D12" s="161" t="s">
        <v>45</v>
      </c>
      <c r="E12" s="160">
        <v>713953</v>
      </c>
      <c r="F12" s="163" t="s">
        <v>18</v>
      </c>
      <c r="G12" s="159" t="s">
        <v>19</v>
      </c>
      <c r="H12" s="163" t="s">
        <v>88</v>
      </c>
      <c r="I12" s="308">
        <v>4</v>
      </c>
      <c r="J12" s="308">
        <v>16</v>
      </c>
      <c r="K12" s="308">
        <v>47</v>
      </c>
      <c r="L12" s="308">
        <v>47</v>
      </c>
      <c r="M12" s="308">
        <v>31</v>
      </c>
      <c r="N12" s="308">
        <v>16</v>
      </c>
      <c r="O12" s="163"/>
      <c r="P12" s="166">
        <f t="shared" si="0"/>
        <v>161</v>
      </c>
      <c r="Q12" s="163"/>
      <c r="R12" s="165">
        <v>46162</v>
      </c>
      <c r="S12" s="165">
        <v>46167</v>
      </c>
      <c r="T12" s="105"/>
      <c r="U12" s="166" t="s">
        <v>373</v>
      </c>
      <c r="V12" s="166" t="s">
        <v>182</v>
      </c>
      <c r="W12" s="163" t="s">
        <v>46</v>
      </c>
      <c r="X12" s="167"/>
      <c r="Y12" s="161" t="s">
        <v>244</v>
      </c>
      <c r="Z12" s="159" t="s">
        <v>31</v>
      </c>
      <c r="AA12" s="159" t="s">
        <v>47</v>
      </c>
      <c r="AB12" s="50" t="s">
        <v>89</v>
      </c>
      <c r="AC12" s="159">
        <v>45999</v>
      </c>
    </row>
    <row r="13" spans="1:30" s="102" customFormat="1" ht="46.15" customHeight="1">
      <c r="A13" s="159" t="s">
        <v>16</v>
      </c>
      <c r="B13" s="160">
        <v>2512046</v>
      </c>
      <c r="C13" s="163">
        <v>70644</v>
      </c>
      <c r="D13" s="161" t="s">
        <v>45</v>
      </c>
      <c r="E13" s="160">
        <v>713953</v>
      </c>
      <c r="F13" s="163" t="s">
        <v>18</v>
      </c>
      <c r="G13" s="159" t="s">
        <v>19</v>
      </c>
      <c r="H13" s="163" t="s">
        <v>88</v>
      </c>
      <c r="I13" s="163"/>
      <c r="J13" s="163"/>
      <c r="K13" s="163"/>
      <c r="L13" s="163"/>
      <c r="M13" s="163"/>
      <c r="N13" s="163"/>
      <c r="O13" s="308">
        <v>1</v>
      </c>
      <c r="P13" s="166">
        <f t="shared" si="0"/>
        <v>1</v>
      </c>
      <c r="Q13" s="163"/>
      <c r="R13" s="165">
        <v>46162</v>
      </c>
      <c r="S13" s="165">
        <v>46167</v>
      </c>
      <c r="T13" s="105"/>
      <c r="U13" s="166" t="s">
        <v>373</v>
      </c>
      <c r="V13" s="166" t="s">
        <v>182</v>
      </c>
      <c r="W13" s="163" t="s">
        <v>46</v>
      </c>
      <c r="X13" s="167"/>
      <c r="Y13" s="161" t="s">
        <v>244</v>
      </c>
      <c r="Z13" s="159" t="s">
        <v>31</v>
      </c>
      <c r="AA13" s="159" t="s">
        <v>47</v>
      </c>
      <c r="AB13" s="50" t="s">
        <v>89</v>
      </c>
      <c r="AC13" s="159">
        <v>45999</v>
      </c>
    </row>
    <row r="14" spans="1:30" s="102" customFormat="1" ht="46.15" customHeight="1">
      <c r="A14" s="159" t="s">
        <v>16</v>
      </c>
      <c r="B14" s="160">
        <v>2512046</v>
      </c>
      <c r="C14" s="163">
        <v>70644</v>
      </c>
      <c r="D14" s="161" t="s">
        <v>149</v>
      </c>
      <c r="E14" s="160">
        <v>713953</v>
      </c>
      <c r="F14" s="163" t="s">
        <v>18</v>
      </c>
      <c r="G14" s="159" t="s">
        <v>19</v>
      </c>
      <c r="H14" s="163" t="s">
        <v>88</v>
      </c>
      <c r="I14" s="163"/>
      <c r="J14" s="308">
        <v>18</v>
      </c>
      <c r="K14" s="308">
        <v>36</v>
      </c>
      <c r="L14" s="308">
        <v>27</v>
      </c>
      <c r="M14" s="308">
        <v>9</v>
      </c>
      <c r="N14" s="163"/>
      <c r="O14" s="163"/>
      <c r="P14" s="166">
        <f t="shared" si="0"/>
        <v>90</v>
      </c>
      <c r="Q14" s="163"/>
      <c r="R14" s="165">
        <v>46137</v>
      </c>
      <c r="S14" s="165">
        <v>46142</v>
      </c>
      <c r="T14" s="105"/>
      <c r="U14" s="166" t="s">
        <v>373</v>
      </c>
      <c r="V14" s="166" t="s">
        <v>183</v>
      </c>
      <c r="W14" s="163" t="s">
        <v>151</v>
      </c>
      <c r="X14" s="167" t="s">
        <v>151</v>
      </c>
      <c r="Y14" s="161" t="s">
        <v>244</v>
      </c>
      <c r="Z14" s="159" t="s">
        <v>26</v>
      </c>
      <c r="AA14" s="159" t="s">
        <v>152</v>
      </c>
      <c r="AB14" s="50" t="s">
        <v>89</v>
      </c>
      <c r="AC14" s="159">
        <v>45999</v>
      </c>
    </row>
    <row r="15" spans="1:30" s="102" customFormat="1" ht="46.15" customHeight="1">
      <c r="A15" s="159" t="s">
        <v>16</v>
      </c>
      <c r="B15" s="160">
        <v>2512046</v>
      </c>
      <c r="C15" s="163">
        <v>70644</v>
      </c>
      <c r="D15" s="161"/>
      <c r="E15" s="160">
        <v>713953</v>
      </c>
      <c r="F15" s="163" t="s">
        <v>18</v>
      </c>
      <c r="G15" s="159" t="s">
        <v>19</v>
      </c>
      <c r="H15" s="163" t="s">
        <v>88</v>
      </c>
      <c r="I15" s="308">
        <v>4</v>
      </c>
      <c r="J15" s="308">
        <v>18</v>
      </c>
      <c r="K15" s="308">
        <v>18</v>
      </c>
      <c r="L15" s="308">
        <v>17</v>
      </c>
      <c r="M15" s="308">
        <v>9</v>
      </c>
      <c r="N15" s="308">
        <v>5</v>
      </c>
      <c r="O15" s="163"/>
      <c r="P15" s="166">
        <f t="shared" si="0"/>
        <v>71</v>
      </c>
      <c r="Q15" s="163"/>
      <c r="R15" s="165">
        <v>46162</v>
      </c>
      <c r="S15" s="165">
        <v>46167</v>
      </c>
      <c r="T15" s="105"/>
      <c r="U15" s="166" t="s">
        <v>373</v>
      </c>
      <c r="V15" s="166" t="s">
        <v>184</v>
      </c>
      <c r="W15" s="163" t="s">
        <v>139</v>
      </c>
      <c r="X15" s="167" t="s">
        <v>139</v>
      </c>
      <c r="Y15" s="161" t="s">
        <v>244</v>
      </c>
      <c r="Z15" s="159" t="s">
        <v>52</v>
      </c>
      <c r="AA15" s="159"/>
      <c r="AB15" s="50" t="s">
        <v>89</v>
      </c>
      <c r="AC15" s="159">
        <v>45999</v>
      </c>
    </row>
    <row r="16" spans="1:30" s="102" customFormat="1" ht="46.15" customHeight="1">
      <c r="A16" s="159" t="s">
        <v>16</v>
      </c>
      <c r="B16" s="160">
        <v>2512046</v>
      </c>
      <c r="C16" s="163">
        <v>70644</v>
      </c>
      <c r="D16" s="161" t="s">
        <v>23</v>
      </c>
      <c r="E16" s="160">
        <v>713953</v>
      </c>
      <c r="F16" s="163" t="s">
        <v>18</v>
      </c>
      <c r="G16" s="159" t="s">
        <v>19</v>
      </c>
      <c r="H16" s="163" t="s">
        <v>88</v>
      </c>
      <c r="I16" s="163"/>
      <c r="J16" s="308">
        <v>48</v>
      </c>
      <c r="K16" s="308">
        <v>69</v>
      </c>
      <c r="L16" s="308">
        <v>69</v>
      </c>
      <c r="M16" s="308">
        <v>48</v>
      </c>
      <c r="N16" s="308">
        <v>32</v>
      </c>
      <c r="O16" s="163"/>
      <c r="P16" s="166">
        <f t="shared" si="0"/>
        <v>266</v>
      </c>
      <c r="Q16" s="163"/>
      <c r="R16" s="165">
        <v>46122</v>
      </c>
      <c r="S16" s="165">
        <v>46127</v>
      </c>
      <c r="T16" s="105"/>
      <c r="U16" s="166" t="s">
        <v>373</v>
      </c>
      <c r="V16" s="166" t="s">
        <v>185</v>
      </c>
      <c r="W16" s="163" t="s">
        <v>24</v>
      </c>
      <c r="X16" s="167" t="s">
        <v>24</v>
      </c>
      <c r="Y16" s="161" t="s">
        <v>244</v>
      </c>
      <c r="Z16" s="159" t="s">
        <v>26</v>
      </c>
      <c r="AA16" s="159" t="s">
        <v>27</v>
      </c>
      <c r="AB16" s="50" t="s">
        <v>89</v>
      </c>
      <c r="AC16" s="159">
        <v>45999</v>
      </c>
    </row>
    <row r="17" spans="1:29" s="102" customFormat="1" ht="46.15" customHeight="1">
      <c r="A17" s="159" t="s">
        <v>16</v>
      </c>
      <c r="B17" s="160">
        <v>2512046</v>
      </c>
      <c r="C17" s="163">
        <v>70644</v>
      </c>
      <c r="D17" s="161" t="s">
        <v>41</v>
      </c>
      <c r="E17" s="160">
        <v>713953</v>
      </c>
      <c r="F17" s="163" t="s">
        <v>18</v>
      </c>
      <c r="G17" s="159" t="s">
        <v>19</v>
      </c>
      <c r="H17" s="163" t="s">
        <v>88</v>
      </c>
      <c r="I17" s="308">
        <v>5</v>
      </c>
      <c r="J17" s="308">
        <v>20</v>
      </c>
      <c r="K17" s="308">
        <v>20</v>
      </c>
      <c r="L17" s="308">
        <v>19</v>
      </c>
      <c r="M17" s="308">
        <v>10</v>
      </c>
      <c r="N17" s="308">
        <v>5</v>
      </c>
      <c r="O17" s="163"/>
      <c r="P17" s="166">
        <f t="shared" si="0"/>
        <v>79</v>
      </c>
      <c r="Q17" s="163"/>
      <c r="R17" s="165">
        <v>46167</v>
      </c>
      <c r="S17" s="165">
        <v>46172</v>
      </c>
      <c r="T17" s="105"/>
      <c r="U17" s="166" t="s">
        <v>373</v>
      </c>
      <c r="V17" s="166" t="s">
        <v>186</v>
      </c>
      <c r="W17" s="163" t="s">
        <v>42</v>
      </c>
      <c r="X17" s="167" t="s">
        <v>42</v>
      </c>
      <c r="Y17" s="161" t="s">
        <v>244</v>
      </c>
      <c r="Z17" s="159" t="s">
        <v>43</v>
      </c>
      <c r="AA17" s="159" t="s">
        <v>44</v>
      </c>
      <c r="AB17" s="50" t="s">
        <v>89</v>
      </c>
      <c r="AC17" s="159">
        <v>45999</v>
      </c>
    </row>
    <row r="18" spans="1:29" s="102" customFormat="1" ht="46.15" customHeight="1">
      <c r="A18" s="159" t="s">
        <v>16</v>
      </c>
      <c r="B18" s="160">
        <v>2512046</v>
      </c>
      <c r="C18" s="163">
        <v>70644</v>
      </c>
      <c r="D18" s="161" t="s">
        <v>114</v>
      </c>
      <c r="E18" s="160">
        <v>713953</v>
      </c>
      <c r="F18" s="163" t="s">
        <v>18</v>
      </c>
      <c r="G18" s="159" t="s">
        <v>19</v>
      </c>
      <c r="H18" s="163" t="s">
        <v>88</v>
      </c>
      <c r="I18" s="163"/>
      <c r="J18" s="308">
        <v>2</v>
      </c>
      <c r="K18" s="308">
        <v>86</v>
      </c>
      <c r="L18" s="308">
        <v>168</v>
      </c>
      <c r="M18" s="308">
        <v>125</v>
      </c>
      <c r="N18" s="308">
        <v>41</v>
      </c>
      <c r="O18" s="163"/>
      <c r="P18" s="166">
        <f t="shared" si="0"/>
        <v>422</v>
      </c>
      <c r="Q18" s="163"/>
      <c r="R18" s="165">
        <v>46137</v>
      </c>
      <c r="S18" s="165">
        <v>46142</v>
      </c>
      <c r="T18" s="105"/>
      <c r="U18" s="166" t="s">
        <v>373</v>
      </c>
      <c r="V18" s="166" t="s">
        <v>187</v>
      </c>
      <c r="W18" s="163" t="s">
        <v>117</v>
      </c>
      <c r="X18" s="167"/>
      <c r="Y18" s="161" t="s">
        <v>244</v>
      </c>
      <c r="Z18" s="159" t="s">
        <v>118</v>
      </c>
      <c r="AA18" s="159" t="s">
        <v>119</v>
      </c>
      <c r="AB18" s="50" t="s">
        <v>89</v>
      </c>
      <c r="AC18" s="159">
        <v>45999</v>
      </c>
    </row>
    <row r="19" spans="1:29" s="102" customFormat="1" ht="46.15" customHeight="1">
      <c r="A19" s="159" t="s">
        <v>16</v>
      </c>
      <c r="B19" s="160">
        <v>2512046</v>
      </c>
      <c r="C19" s="163">
        <v>70644</v>
      </c>
      <c r="D19" s="161" t="s">
        <v>17</v>
      </c>
      <c r="E19" s="160">
        <v>713953</v>
      </c>
      <c r="F19" s="163" t="s">
        <v>18</v>
      </c>
      <c r="G19" s="159" t="s">
        <v>19</v>
      </c>
      <c r="H19" s="163" t="s">
        <v>88</v>
      </c>
      <c r="I19" s="163"/>
      <c r="J19" s="308">
        <v>160</v>
      </c>
      <c r="K19" s="308">
        <v>240</v>
      </c>
      <c r="L19" s="308">
        <v>160</v>
      </c>
      <c r="M19" s="308">
        <v>80</v>
      </c>
      <c r="N19" s="308">
        <v>80</v>
      </c>
      <c r="O19" s="163"/>
      <c r="P19" s="166">
        <f t="shared" si="0"/>
        <v>720</v>
      </c>
      <c r="Q19" s="163"/>
      <c r="R19" s="165">
        <v>46122</v>
      </c>
      <c r="S19" s="165">
        <v>46127</v>
      </c>
      <c r="T19" s="105"/>
      <c r="U19" s="166" t="s">
        <v>373</v>
      </c>
      <c r="V19" s="166" t="s">
        <v>188</v>
      </c>
      <c r="W19" s="163" t="s">
        <v>20</v>
      </c>
      <c r="X19" s="167" t="s">
        <v>20</v>
      </c>
      <c r="Y19" s="161" t="s">
        <v>244</v>
      </c>
      <c r="Z19" s="159" t="s">
        <v>21</v>
      </c>
      <c r="AA19" s="159" t="s">
        <v>22</v>
      </c>
      <c r="AB19" s="50" t="s">
        <v>89</v>
      </c>
      <c r="AC19" s="159">
        <v>45999</v>
      </c>
    </row>
    <row r="20" spans="1:29" s="102" customFormat="1" ht="46.15" customHeight="1">
      <c r="A20" s="159" t="s">
        <v>16</v>
      </c>
      <c r="B20" s="160">
        <v>2512046</v>
      </c>
      <c r="C20" s="163">
        <v>70644</v>
      </c>
      <c r="D20" s="161" t="s">
        <v>63</v>
      </c>
      <c r="E20" s="160">
        <v>713953</v>
      </c>
      <c r="F20" s="163" t="s">
        <v>18</v>
      </c>
      <c r="G20" s="159" t="s">
        <v>19</v>
      </c>
      <c r="H20" s="163" t="s">
        <v>88</v>
      </c>
      <c r="I20" s="163"/>
      <c r="J20" s="308">
        <v>17</v>
      </c>
      <c r="K20" s="308">
        <v>18</v>
      </c>
      <c r="L20" s="308">
        <v>13</v>
      </c>
      <c r="M20" s="308">
        <v>2</v>
      </c>
      <c r="N20" s="163"/>
      <c r="O20" s="163"/>
      <c r="P20" s="166">
        <f t="shared" si="0"/>
        <v>50</v>
      </c>
      <c r="Q20" s="163"/>
      <c r="R20" s="165">
        <v>46213</v>
      </c>
      <c r="S20" s="165">
        <v>46218</v>
      </c>
      <c r="T20" s="105"/>
      <c r="U20" s="166" t="s">
        <v>373</v>
      </c>
      <c r="V20" s="166" t="s">
        <v>189</v>
      </c>
      <c r="W20" s="163" t="s">
        <v>64</v>
      </c>
      <c r="X20" s="167"/>
      <c r="Y20" s="161" t="s">
        <v>244</v>
      </c>
      <c r="Z20" s="159" t="s">
        <v>65</v>
      </c>
      <c r="AA20" s="159" t="s">
        <v>66</v>
      </c>
      <c r="AB20" s="50" t="s">
        <v>89</v>
      </c>
      <c r="AC20" s="159">
        <v>45999</v>
      </c>
    </row>
    <row r="21" spans="1:29" s="102" customFormat="1" ht="46.15" customHeight="1">
      <c r="A21" s="159" t="s">
        <v>16</v>
      </c>
      <c r="B21" s="160">
        <v>2512046</v>
      </c>
      <c r="C21" s="163">
        <v>70644</v>
      </c>
      <c r="D21" s="161" t="s">
        <v>70</v>
      </c>
      <c r="E21" s="160">
        <v>713953</v>
      </c>
      <c r="F21" s="163" t="s">
        <v>18</v>
      </c>
      <c r="G21" s="159" t="s">
        <v>19</v>
      </c>
      <c r="H21" s="163" t="s">
        <v>88</v>
      </c>
      <c r="I21" s="163"/>
      <c r="J21" s="308">
        <v>25</v>
      </c>
      <c r="K21" s="308">
        <v>50</v>
      </c>
      <c r="L21" s="308">
        <v>50</v>
      </c>
      <c r="M21" s="308">
        <v>25</v>
      </c>
      <c r="N21" s="163"/>
      <c r="O21" s="163"/>
      <c r="P21" s="166">
        <f t="shared" si="0"/>
        <v>150</v>
      </c>
      <c r="Q21" s="163"/>
      <c r="R21" s="165">
        <v>46213</v>
      </c>
      <c r="S21" s="165">
        <v>46218</v>
      </c>
      <c r="T21" s="105"/>
      <c r="U21" s="166" t="s">
        <v>373</v>
      </c>
      <c r="V21" s="166" t="s">
        <v>190</v>
      </c>
      <c r="W21" s="163" t="s">
        <v>28</v>
      </c>
      <c r="X21" s="167" t="s">
        <v>71</v>
      </c>
      <c r="Y21" s="161" t="s">
        <v>244</v>
      </c>
      <c r="Z21" s="159" t="s">
        <v>72</v>
      </c>
      <c r="AA21" s="159" t="s">
        <v>73</v>
      </c>
      <c r="AB21" s="50" t="s">
        <v>89</v>
      </c>
      <c r="AC21" s="159">
        <v>45999</v>
      </c>
    </row>
    <row r="22" spans="1:29" s="102" customFormat="1" ht="46.15" customHeight="1">
      <c r="A22" s="159" t="s">
        <v>16</v>
      </c>
      <c r="B22" s="160">
        <v>2512046</v>
      </c>
      <c r="C22" s="163">
        <v>70644</v>
      </c>
      <c r="D22" s="161" t="s">
        <v>17</v>
      </c>
      <c r="E22" s="160">
        <v>713953</v>
      </c>
      <c r="F22" s="163" t="s">
        <v>18</v>
      </c>
      <c r="G22" s="159" t="s">
        <v>19</v>
      </c>
      <c r="H22" s="163" t="s">
        <v>88</v>
      </c>
      <c r="I22" s="163"/>
      <c r="J22" s="308">
        <v>56</v>
      </c>
      <c r="K22" s="308">
        <v>70</v>
      </c>
      <c r="L22" s="308">
        <v>56</v>
      </c>
      <c r="M22" s="308">
        <v>42</v>
      </c>
      <c r="N22" s="163"/>
      <c r="O22" s="163"/>
      <c r="P22" s="166">
        <f t="shared" si="0"/>
        <v>224</v>
      </c>
      <c r="Q22" s="163"/>
      <c r="R22" s="165">
        <v>46157</v>
      </c>
      <c r="S22" s="165">
        <v>46162</v>
      </c>
      <c r="T22" s="105"/>
      <c r="U22" s="166" t="s">
        <v>373</v>
      </c>
      <c r="V22" s="166" t="s">
        <v>191</v>
      </c>
      <c r="W22" s="163" t="s">
        <v>20</v>
      </c>
      <c r="X22" s="167" t="s">
        <v>20</v>
      </c>
      <c r="Y22" s="161" t="s">
        <v>244</v>
      </c>
      <c r="Z22" s="159" t="s">
        <v>21</v>
      </c>
      <c r="AA22" s="159" t="s">
        <v>22</v>
      </c>
      <c r="AB22" s="50" t="s">
        <v>89</v>
      </c>
      <c r="AC22" s="159">
        <v>45999</v>
      </c>
    </row>
    <row r="23" spans="1:29" s="102" customFormat="1" ht="46.15" customHeight="1">
      <c r="A23" s="159" t="s">
        <v>16</v>
      </c>
      <c r="B23" s="160">
        <v>2512046</v>
      </c>
      <c r="C23" s="163">
        <v>70644</v>
      </c>
      <c r="D23" s="161" t="s">
        <v>45</v>
      </c>
      <c r="E23" s="160">
        <v>713953</v>
      </c>
      <c r="F23" s="163" t="s">
        <v>18</v>
      </c>
      <c r="G23" s="159" t="s">
        <v>19</v>
      </c>
      <c r="H23" s="163" t="s">
        <v>88</v>
      </c>
      <c r="I23" s="163"/>
      <c r="J23" s="163"/>
      <c r="K23" s="163"/>
      <c r="L23" s="163"/>
      <c r="M23" s="163"/>
      <c r="N23" s="163"/>
      <c r="O23" s="308">
        <v>1</v>
      </c>
      <c r="P23" s="166">
        <f t="shared" si="0"/>
        <v>1</v>
      </c>
      <c r="Q23" s="163"/>
      <c r="R23" s="165">
        <v>46203</v>
      </c>
      <c r="S23" s="165">
        <v>46208</v>
      </c>
      <c r="T23" s="105"/>
      <c r="U23" s="166" t="s">
        <v>373</v>
      </c>
      <c r="V23" s="166" t="s">
        <v>192</v>
      </c>
      <c r="W23" s="163" t="s">
        <v>46</v>
      </c>
      <c r="X23" s="167"/>
      <c r="Y23" s="161" t="s">
        <v>244</v>
      </c>
      <c r="Z23" s="159" t="s">
        <v>31</v>
      </c>
      <c r="AA23" s="159" t="s">
        <v>47</v>
      </c>
      <c r="AB23" s="50" t="s">
        <v>89</v>
      </c>
      <c r="AC23" s="159">
        <v>45999</v>
      </c>
    </row>
    <row r="24" spans="1:29" s="102" customFormat="1" ht="46.15" customHeight="1">
      <c r="A24" s="159" t="s">
        <v>16</v>
      </c>
      <c r="B24" s="160">
        <v>2512046</v>
      </c>
      <c r="C24" s="163">
        <v>70644</v>
      </c>
      <c r="D24" s="161" t="s">
        <v>45</v>
      </c>
      <c r="E24" s="160">
        <v>713953</v>
      </c>
      <c r="F24" s="163" t="s">
        <v>18</v>
      </c>
      <c r="G24" s="159" t="s">
        <v>19</v>
      </c>
      <c r="H24" s="163" t="s">
        <v>88</v>
      </c>
      <c r="I24" s="308">
        <v>3</v>
      </c>
      <c r="J24" s="308">
        <v>11</v>
      </c>
      <c r="K24" s="308">
        <v>30</v>
      </c>
      <c r="L24" s="308">
        <v>31</v>
      </c>
      <c r="M24" s="308">
        <v>21</v>
      </c>
      <c r="N24" s="308">
        <v>11</v>
      </c>
      <c r="O24" s="163"/>
      <c r="P24" s="166">
        <f t="shared" si="0"/>
        <v>107</v>
      </c>
      <c r="Q24" s="163"/>
      <c r="R24" s="165">
        <v>46203</v>
      </c>
      <c r="S24" s="165">
        <v>46208</v>
      </c>
      <c r="T24" s="105"/>
      <c r="U24" s="166" t="s">
        <v>373</v>
      </c>
      <c r="V24" s="166" t="s">
        <v>192</v>
      </c>
      <c r="W24" s="163" t="s">
        <v>46</v>
      </c>
      <c r="X24" s="167"/>
      <c r="Y24" s="161" t="s">
        <v>244</v>
      </c>
      <c r="Z24" s="159" t="s">
        <v>31</v>
      </c>
      <c r="AA24" s="159" t="s">
        <v>47</v>
      </c>
      <c r="AB24" s="50" t="s">
        <v>89</v>
      </c>
      <c r="AC24" s="159">
        <v>45999</v>
      </c>
    </row>
    <row r="25" spans="1:29" s="102" customFormat="1" ht="46.15" customHeight="1">
      <c r="A25" s="159" t="s">
        <v>16</v>
      </c>
      <c r="B25" s="160">
        <v>2512046</v>
      </c>
      <c r="C25" s="163">
        <v>70644</v>
      </c>
      <c r="D25" s="161" t="s">
        <v>67</v>
      </c>
      <c r="E25" s="160">
        <v>713953</v>
      </c>
      <c r="F25" s="163" t="s">
        <v>18</v>
      </c>
      <c r="G25" s="159" t="s">
        <v>19</v>
      </c>
      <c r="H25" s="163" t="s">
        <v>88</v>
      </c>
      <c r="I25" s="163"/>
      <c r="J25" s="308">
        <v>10</v>
      </c>
      <c r="K25" s="308">
        <v>12</v>
      </c>
      <c r="L25" s="308">
        <v>12</v>
      </c>
      <c r="M25" s="308">
        <v>10</v>
      </c>
      <c r="N25" s="308">
        <v>6</v>
      </c>
      <c r="O25" s="163"/>
      <c r="P25" s="166">
        <f t="shared" si="0"/>
        <v>50</v>
      </c>
      <c r="Q25" s="163"/>
      <c r="R25" s="165">
        <v>46122</v>
      </c>
      <c r="S25" s="165">
        <v>46127</v>
      </c>
      <c r="T25" s="105"/>
      <c r="U25" s="166" t="s">
        <v>373</v>
      </c>
      <c r="V25" s="166" t="s">
        <v>193</v>
      </c>
      <c r="W25" s="163" t="s">
        <v>68</v>
      </c>
      <c r="X25" s="167" t="s">
        <v>68</v>
      </c>
      <c r="Y25" s="161" t="s">
        <v>244</v>
      </c>
      <c r="Z25" s="159" t="s">
        <v>26</v>
      </c>
      <c r="AA25" s="159" t="s">
        <v>69</v>
      </c>
      <c r="AB25" s="50" t="s">
        <v>89</v>
      </c>
      <c r="AC25" s="159">
        <v>45999</v>
      </c>
    </row>
    <row r="26" spans="1:29" s="102" customFormat="1" ht="46.15" customHeight="1">
      <c r="A26" s="159" t="s">
        <v>16</v>
      </c>
      <c r="B26" s="160">
        <v>2512046</v>
      </c>
      <c r="C26" s="163">
        <v>70644</v>
      </c>
      <c r="D26" s="161" t="s">
        <v>14</v>
      </c>
      <c r="E26" s="160">
        <v>713953</v>
      </c>
      <c r="F26" s="163" t="s">
        <v>18</v>
      </c>
      <c r="G26" s="159" t="s">
        <v>19</v>
      </c>
      <c r="H26" s="163" t="s">
        <v>88</v>
      </c>
      <c r="I26" s="308">
        <v>12</v>
      </c>
      <c r="J26" s="308">
        <v>66</v>
      </c>
      <c r="K26" s="308">
        <v>157</v>
      </c>
      <c r="L26" s="308">
        <v>168</v>
      </c>
      <c r="M26" s="308">
        <v>99</v>
      </c>
      <c r="N26" s="308">
        <v>58</v>
      </c>
      <c r="O26" s="163"/>
      <c r="P26" s="166">
        <f t="shared" si="0"/>
        <v>560</v>
      </c>
      <c r="Q26" s="163"/>
      <c r="R26" s="165">
        <v>46122</v>
      </c>
      <c r="S26" s="165">
        <v>46127</v>
      </c>
      <c r="T26" s="105"/>
      <c r="U26" s="166" t="s">
        <v>373</v>
      </c>
      <c r="V26" s="166" t="s">
        <v>194</v>
      </c>
      <c r="W26" s="163" t="s">
        <v>33</v>
      </c>
      <c r="X26" s="167" t="s">
        <v>34</v>
      </c>
      <c r="Y26" s="161" t="s">
        <v>244</v>
      </c>
      <c r="Z26" s="159" t="s">
        <v>35</v>
      </c>
      <c r="AA26" s="159" t="s">
        <v>15</v>
      </c>
      <c r="AB26" s="50" t="s">
        <v>89</v>
      </c>
      <c r="AC26" s="159">
        <v>45995</v>
      </c>
    </row>
    <row r="27" spans="1:29" s="102" customFormat="1" ht="46.15" customHeight="1">
      <c r="A27" s="159" t="s">
        <v>16</v>
      </c>
      <c r="B27" s="160">
        <v>2512046</v>
      </c>
      <c r="C27" s="163">
        <v>70644</v>
      </c>
      <c r="D27" s="161" t="s">
        <v>14</v>
      </c>
      <c r="E27" s="160">
        <v>713953</v>
      </c>
      <c r="F27" s="163" t="s">
        <v>18</v>
      </c>
      <c r="G27" s="159" t="s">
        <v>19</v>
      </c>
      <c r="H27" s="163" t="s">
        <v>88</v>
      </c>
      <c r="I27" s="163"/>
      <c r="J27" s="163"/>
      <c r="K27" s="163"/>
      <c r="L27" s="163"/>
      <c r="M27" s="163"/>
      <c r="N27" s="163"/>
      <c r="O27" s="308">
        <v>38</v>
      </c>
      <c r="P27" s="166">
        <f t="shared" si="0"/>
        <v>38</v>
      </c>
      <c r="Q27" s="163"/>
      <c r="R27" s="165">
        <v>46122</v>
      </c>
      <c r="S27" s="165">
        <v>46127</v>
      </c>
      <c r="T27" s="105"/>
      <c r="U27" s="166" t="s">
        <v>373</v>
      </c>
      <c r="V27" s="166" t="s">
        <v>194</v>
      </c>
      <c r="W27" s="163" t="s">
        <v>33</v>
      </c>
      <c r="X27" s="167" t="s">
        <v>34</v>
      </c>
      <c r="Y27" s="161" t="s">
        <v>244</v>
      </c>
      <c r="Z27" s="159" t="s">
        <v>35</v>
      </c>
      <c r="AA27" s="159" t="s">
        <v>15</v>
      </c>
      <c r="AB27" s="50" t="s">
        <v>89</v>
      </c>
      <c r="AC27" s="159">
        <v>45995</v>
      </c>
    </row>
    <row r="28" spans="1:29" s="102" customFormat="1" ht="46.15" customHeight="1">
      <c r="A28" s="159" t="s">
        <v>16</v>
      </c>
      <c r="B28" s="160">
        <v>2512046</v>
      </c>
      <c r="C28" s="163">
        <v>70644</v>
      </c>
      <c r="D28" s="161" t="s">
        <v>96</v>
      </c>
      <c r="E28" s="160">
        <v>713953</v>
      </c>
      <c r="F28" s="163" t="s">
        <v>18</v>
      </c>
      <c r="G28" s="159" t="s">
        <v>19</v>
      </c>
      <c r="H28" s="163" t="s">
        <v>88</v>
      </c>
      <c r="I28" s="163"/>
      <c r="J28" s="163"/>
      <c r="K28" s="163"/>
      <c r="L28" s="163"/>
      <c r="M28" s="163"/>
      <c r="N28" s="163"/>
      <c r="O28" s="308">
        <v>10</v>
      </c>
      <c r="P28" s="166">
        <f t="shared" si="0"/>
        <v>10</v>
      </c>
      <c r="Q28" s="163"/>
      <c r="R28" s="165">
        <v>46122</v>
      </c>
      <c r="S28" s="165">
        <v>46127</v>
      </c>
      <c r="T28" s="105"/>
      <c r="U28" s="166" t="s">
        <v>373</v>
      </c>
      <c r="V28" s="166" t="s">
        <v>195</v>
      </c>
      <c r="W28" s="163" t="s">
        <v>97</v>
      </c>
      <c r="X28" s="167"/>
      <c r="Y28" s="161" t="s">
        <v>244</v>
      </c>
      <c r="Z28" s="159" t="s">
        <v>98</v>
      </c>
      <c r="AA28" s="159" t="s">
        <v>99</v>
      </c>
      <c r="AB28" s="50" t="s">
        <v>89</v>
      </c>
      <c r="AC28" s="159">
        <v>45999</v>
      </c>
    </row>
    <row r="29" spans="1:29" s="102" customFormat="1" ht="46.15" customHeight="1">
      <c r="A29" s="159" t="s">
        <v>16</v>
      </c>
      <c r="B29" s="160">
        <v>2512046</v>
      </c>
      <c r="C29" s="163">
        <v>70644</v>
      </c>
      <c r="D29" s="161" t="s">
        <v>96</v>
      </c>
      <c r="E29" s="160">
        <v>713953</v>
      </c>
      <c r="F29" s="163" t="s">
        <v>18</v>
      </c>
      <c r="G29" s="159" t="s">
        <v>19</v>
      </c>
      <c r="H29" s="163" t="s">
        <v>88</v>
      </c>
      <c r="I29" s="308">
        <v>3</v>
      </c>
      <c r="J29" s="308">
        <v>17</v>
      </c>
      <c r="K29" s="308">
        <v>40</v>
      </c>
      <c r="L29" s="308">
        <v>43</v>
      </c>
      <c r="M29" s="308">
        <v>25</v>
      </c>
      <c r="N29" s="308">
        <v>15</v>
      </c>
      <c r="O29" s="163"/>
      <c r="P29" s="166">
        <f t="shared" si="0"/>
        <v>143</v>
      </c>
      <c r="Q29" s="163"/>
      <c r="R29" s="165">
        <v>46122</v>
      </c>
      <c r="S29" s="165">
        <v>46127</v>
      </c>
      <c r="T29" s="105"/>
      <c r="U29" s="166" t="s">
        <v>373</v>
      </c>
      <c r="V29" s="166" t="s">
        <v>195</v>
      </c>
      <c r="W29" s="163" t="s">
        <v>97</v>
      </c>
      <c r="X29" s="167"/>
      <c r="Y29" s="161" t="s">
        <v>244</v>
      </c>
      <c r="Z29" s="159" t="s">
        <v>98</v>
      </c>
      <c r="AA29" s="159" t="s">
        <v>99</v>
      </c>
      <c r="AB29" s="50" t="s">
        <v>89</v>
      </c>
      <c r="AC29" s="159">
        <v>45999</v>
      </c>
    </row>
    <row r="30" spans="1:29" s="102" customFormat="1" ht="46.15" customHeight="1">
      <c r="A30" s="159" t="s">
        <v>16</v>
      </c>
      <c r="B30" s="160">
        <v>2512046</v>
      </c>
      <c r="C30" s="163">
        <v>70644</v>
      </c>
      <c r="D30" s="161" t="s">
        <v>74</v>
      </c>
      <c r="E30" s="160">
        <v>713953</v>
      </c>
      <c r="F30" s="163" t="s">
        <v>18</v>
      </c>
      <c r="G30" s="159" t="s">
        <v>19</v>
      </c>
      <c r="H30" s="163" t="s">
        <v>88</v>
      </c>
      <c r="I30" s="308">
        <v>21</v>
      </c>
      <c r="J30" s="308">
        <v>81</v>
      </c>
      <c r="K30" s="308">
        <v>89</v>
      </c>
      <c r="L30" s="308">
        <v>69</v>
      </c>
      <c r="M30" s="308">
        <v>18</v>
      </c>
      <c r="N30" s="308">
        <v>7</v>
      </c>
      <c r="O30" s="163"/>
      <c r="P30" s="166">
        <f t="shared" si="0"/>
        <v>285</v>
      </c>
      <c r="Q30" s="163"/>
      <c r="R30" s="165">
        <v>46137</v>
      </c>
      <c r="S30" s="165">
        <v>46142</v>
      </c>
      <c r="T30" s="105"/>
      <c r="U30" s="166" t="s">
        <v>373</v>
      </c>
      <c r="V30" s="166" t="s">
        <v>196</v>
      </c>
      <c r="W30" s="163" t="s">
        <v>75</v>
      </c>
      <c r="X30" s="167"/>
      <c r="Y30" s="161" t="s">
        <v>244</v>
      </c>
      <c r="Z30" s="159" t="s">
        <v>76</v>
      </c>
      <c r="AA30" s="159" t="s">
        <v>77</v>
      </c>
      <c r="AB30" s="50" t="s">
        <v>89</v>
      </c>
      <c r="AC30" s="159">
        <v>46000</v>
      </c>
    </row>
    <row r="31" spans="1:29" s="102" customFormat="1" ht="46.15" customHeight="1">
      <c r="A31" s="159" t="s">
        <v>16</v>
      </c>
      <c r="B31" s="160">
        <v>2512046</v>
      </c>
      <c r="C31" s="163">
        <v>70644</v>
      </c>
      <c r="D31" s="161" t="s">
        <v>14</v>
      </c>
      <c r="E31" s="160">
        <v>713953</v>
      </c>
      <c r="F31" s="163" t="s">
        <v>18</v>
      </c>
      <c r="G31" s="159" t="s">
        <v>19</v>
      </c>
      <c r="H31" s="163" t="s">
        <v>88</v>
      </c>
      <c r="I31" s="163"/>
      <c r="J31" s="308">
        <v>67</v>
      </c>
      <c r="K31" s="308">
        <v>40</v>
      </c>
      <c r="L31" s="308">
        <v>40</v>
      </c>
      <c r="M31" s="308">
        <v>55</v>
      </c>
      <c r="N31" s="308">
        <v>36</v>
      </c>
      <c r="O31" s="163"/>
      <c r="P31" s="166">
        <f t="shared" si="0"/>
        <v>238</v>
      </c>
      <c r="Q31" s="163"/>
      <c r="R31" s="165">
        <v>46122</v>
      </c>
      <c r="S31" s="165">
        <v>46127</v>
      </c>
      <c r="T31" s="105"/>
      <c r="U31" s="166" t="s">
        <v>373</v>
      </c>
      <c r="V31" s="166" t="s">
        <v>197</v>
      </c>
      <c r="W31" s="163" t="s">
        <v>33</v>
      </c>
      <c r="X31" s="167"/>
      <c r="Y31" s="161" t="s">
        <v>244</v>
      </c>
      <c r="Z31" s="159" t="s">
        <v>36</v>
      </c>
      <c r="AA31" s="159" t="s">
        <v>15</v>
      </c>
      <c r="AB31" s="50" t="s">
        <v>89</v>
      </c>
      <c r="AC31" s="159">
        <v>45995</v>
      </c>
    </row>
    <row r="32" spans="1:29" s="102" customFormat="1" ht="46.15" customHeight="1">
      <c r="A32" s="159" t="s">
        <v>16</v>
      </c>
      <c r="B32" s="160">
        <v>2512046</v>
      </c>
      <c r="C32" s="163">
        <v>70644</v>
      </c>
      <c r="D32" s="161" t="s">
        <v>17</v>
      </c>
      <c r="E32" s="160">
        <v>713953</v>
      </c>
      <c r="F32" s="163" t="s">
        <v>18</v>
      </c>
      <c r="G32" s="159" t="s">
        <v>19</v>
      </c>
      <c r="H32" s="163" t="s">
        <v>88</v>
      </c>
      <c r="I32" s="163"/>
      <c r="J32" s="308">
        <v>378</v>
      </c>
      <c r="K32" s="308">
        <v>567</v>
      </c>
      <c r="L32" s="308">
        <v>378</v>
      </c>
      <c r="M32" s="308">
        <v>189</v>
      </c>
      <c r="N32" s="163"/>
      <c r="O32" s="163"/>
      <c r="P32" s="166">
        <f t="shared" si="0"/>
        <v>1512</v>
      </c>
      <c r="Q32" s="163"/>
      <c r="R32" s="165">
        <v>46122</v>
      </c>
      <c r="S32" s="165">
        <v>46127</v>
      </c>
      <c r="T32" s="105"/>
      <c r="U32" s="166" t="s">
        <v>373</v>
      </c>
      <c r="V32" s="166" t="s">
        <v>198</v>
      </c>
      <c r="W32" s="163" t="s">
        <v>20</v>
      </c>
      <c r="X32" s="167" t="s">
        <v>20</v>
      </c>
      <c r="Y32" s="161" t="s">
        <v>244</v>
      </c>
      <c r="Z32" s="159" t="s">
        <v>21</v>
      </c>
      <c r="AA32" s="159" t="s">
        <v>22</v>
      </c>
      <c r="AB32" s="50" t="s">
        <v>89</v>
      </c>
      <c r="AC32" s="159">
        <v>45999</v>
      </c>
    </row>
    <row r="33" spans="1:30" s="102" customFormat="1" ht="46.15" customHeight="1">
      <c r="A33" s="159" t="s">
        <v>16</v>
      </c>
      <c r="B33" s="160">
        <v>2512046</v>
      </c>
      <c r="C33" s="163">
        <v>70644</v>
      </c>
      <c r="D33" s="161" t="s">
        <v>45</v>
      </c>
      <c r="E33" s="160">
        <v>713953</v>
      </c>
      <c r="F33" s="163" t="s">
        <v>18</v>
      </c>
      <c r="G33" s="159" t="s">
        <v>19</v>
      </c>
      <c r="H33" s="163" t="s">
        <v>88</v>
      </c>
      <c r="I33" s="308">
        <v>8</v>
      </c>
      <c r="J33" s="308">
        <v>29</v>
      </c>
      <c r="K33" s="308">
        <v>83</v>
      </c>
      <c r="L33" s="308">
        <v>85</v>
      </c>
      <c r="M33" s="308">
        <v>56</v>
      </c>
      <c r="N33" s="308">
        <v>29</v>
      </c>
      <c r="O33" s="163"/>
      <c r="P33" s="166">
        <f t="shared" si="0"/>
        <v>290</v>
      </c>
      <c r="Q33" s="163"/>
      <c r="R33" s="165">
        <v>46122</v>
      </c>
      <c r="S33" s="165">
        <v>46127</v>
      </c>
      <c r="T33" s="105"/>
      <c r="U33" s="166" t="s">
        <v>373</v>
      </c>
      <c r="V33" s="166" t="s">
        <v>199</v>
      </c>
      <c r="W33" s="163" t="s">
        <v>46</v>
      </c>
      <c r="X33" s="167"/>
      <c r="Y33" s="161" t="s">
        <v>244</v>
      </c>
      <c r="Z33" s="159" t="s">
        <v>31</v>
      </c>
      <c r="AA33" s="159" t="s">
        <v>47</v>
      </c>
      <c r="AB33" s="50" t="s">
        <v>89</v>
      </c>
      <c r="AC33" s="159">
        <v>45999</v>
      </c>
    </row>
    <row r="34" spans="1:30" s="102" customFormat="1" ht="46.15" customHeight="1">
      <c r="A34" s="159" t="s">
        <v>16</v>
      </c>
      <c r="B34" s="160">
        <v>2512046</v>
      </c>
      <c r="C34" s="163">
        <v>70644</v>
      </c>
      <c r="D34" s="161" t="s">
        <v>45</v>
      </c>
      <c r="E34" s="160">
        <v>713953</v>
      </c>
      <c r="F34" s="163" t="s">
        <v>18</v>
      </c>
      <c r="G34" s="159" t="s">
        <v>19</v>
      </c>
      <c r="H34" s="163" t="s">
        <v>88</v>
      </c>
      <c r="I34" s="163"/>
      <c r="J34" s="163"/>
      <c r="K34" s="163"/>
      <c r="L34" s="163"/>
      <c r="M34" s="163"/>
      <c r="N34" s="163"/>
      <c r="O34" s="308">
        <v>2</v>
      </c>
      <c r="P34" s="166">
        <f t="shared" si="0"/>
        <v>2</v>
      </c>
      <c r="Q34" s="163"/>
      <c r="R34" s="165">
        <v>46122</v>
      </c>
      <c r="S34" s="165">
        <v>46127</v>
      </c>
      <c r="T34" s="105"/>
      <c r="U34" s="166" t="s">
        <v>373</v>
      </c>
      <c r="V34" s="166" t="s">
        <v>199</v>
      </c>
      <c r="W34" s="163" t="s">
        <v>46</v>
      </c>
      <c r="X34" s="167"/>
      <c r="Y34" s="161" t="s">
        <v>244</v>
      </c>
      <c r="Z34" s="159" t="s">
        <v>31</v>
      </c>
      <c r="AA34" s="159" t="s">
        <v>47</v>
      </c>
      <c r="AB34" s="50" t="s">
        <v>89</v>
      </c>
      <c r="AC34" s="159">
        <v>45999</v>
      </c>
    </row>
    <row r="35" spans="1:30" s="102" customFormat="1" ht="46.15" customHeight="1">
      <c r="A35" s="159" t="s">
        <v>16</v>
      </c>
      <c r="B35" s="160">
        <v>2512046</v>
      </c>
      <c r="C35" s="163">
        <v>70644</v>
      </c>
      <c r="D35" s="161" t="s">
        <v>49</v>
      </c>
      <c r="E35" s="160">
        <v>713953</v>
      </c>
      <c r="F35" s="163" t="s">
        <v>18</v>
      </c>
      <c r="G35" s="159" t="s">
        <v>19</v>
      </c>
      <c r="H35" s="163" t="s">
        <v>88</v>
      </c>
      <c r="I35" s="308">
        <v>12</v>
      </c>
      <c r="J35" s="308">
        <v>44</v>
      </c>
      <c r="K35" s="308">
        <v>55</v>
      </c>
      <c r="L35" s="308">
        <v>48</v>
      </c>
      <c r="M35" s="308">
        <v>34</v>
      </c>
      <c r="N35" s="308">
        <v>18</v>
      </c>
      <c r="O35" s="163"/>
      <c r="P35" s="166">
        <f t="shared" si="0"/>
        <v>211</v>
      </c>
      <c r="Q35" s="163"/>
      <c r="R35" s="165">
        <v>46127</v>
      </c>
      <c r="S35" s="165">
        <v>46132</v>
      </c>
      <c r="T35" s="105"/>
      <c r="U35" s="166" t="s">
        <v>373</v>
      </c>
      <c r="V35" s="166" t="s">
        <v>200</v>
      </c>
      <c r="W35" s="163" t="s">
        <v>50</v>
      </c>
      <c r="X35" s="167" t="s">
        <v>50</v>
      </c>
      <c r="Y35" s="161" t="s">
        <v>244</v>
      </c>
      <c r="Z35" s="159" t="s">
        <v>31</v>
      </c>
      <c r="AA35" s="159" t="s">
        <v>51</v>
      </c>
      <c r="AB35" s="50" t="s">
        <v>89</v>
      </c>
      <c r="AC35" s="159">
        <v>45999</v>
      </c>
    </row>
    <row r="36" spans="1:30" s="103" customFormat="1" ht="46.15" customHeight="1">
      <c r="A36" s="159" t="s">
        <v>16</v>
      </c>
      <c r="B36" s="160">
        <v>2512046</v>
      </c>
      <c r="C36" s="163">
        <v>70644</v>
      </c>
      <c r="D36" s="161" t="s">
        <v>49</v>
      </c>
      <c r="E36" s="160">
        <v>713953</v>
      </c>
      <c r="F36" s="163" t="s">
        <v>18</v>
      </c>
      <c r="G36" s="159" t="s">
        <v>19</v>
      </c>
      <c r="H36" s="163" t="s">
        <v>88</v>
      </c>
      <c r="I36" s="163"/>
      <c r="J36" s="163"/>
      <c r="K36" s="163"/>
      <c r="L36" s="163"/>
      <c r="M36" s="163"/>
      <c r="N36" s="163"/>
      <c r="O36" s="308">
        <v>5</v>
      </c>
      <c r="P36" s="166">
        <f t="shared" si="0"/>
        <v>5</v>
      </c>
      <c r="Q36" s="163"/>
      <c r="R36" s="165">
        <v>46127</v>
      </c>
      <c r="S36" s="165">
        <v>46132</v>
      </c>
      <c r="T36" s="105"/>
      <c r="U36" s="166" t="s">
        <v>373</v>
      </c>
      <c r="V36" s="166" t="s">
        <v>200</v>
      </c>
      <c r="W36" s="163" t="s">
        <v>50</v>
      </c>
      <c r="X36" s="167" t="s">
        <v>50</v>
      </c>
      <c r="Y36" s="161" t="s">
        <v>244</v>
      </c>
      <c r="Z36" s="159" t="s">
        <v>31</v>
      </c>
      <c r="AA36" s="159" t="s">
        <v>51</v>
      </c>
      <c r="AB36" s="50" t="s">
        <v>89</v>
      </c>
      <c r="AC36" s="159">
        <v>45999</v>
      </c>
    </row>
    <row r="37" spans="1:30" s="102" customFormat="1" ht="47.65" customHeight="1">
      <c r="A37" s="310" t="s">
        <v>16</v>
      </c>
      <c r="B37" s="311">
        <v>2512046</v>
      </c>
      <c r="C37" s="312">
        <v>70644</v>
      </c>
      <c r="D37" s="313" t="s">
        <v>37</v>
      </c>
      <c r="E37" s="311">
        <v>713953</v>
      </c>
      <c r="F37" s="312" t="s">
        <v>18</v>
      </c>
      <c r="G37" s="310" t="s">
        <v>19</v>
      </c>
      <c r="H37" s="312" t="s">
        <v>88</v>
      </c>
      <c r="I37" s="314">
        <v>10</v>
      </c>
      <c r="J37" s="314">
        <v>125</v>
      </c>
      <c r="K37" s="314">
        <v>198</v>
      </c>
      <c r="L37" s="314">
        <v>189</v>
      </c>
      <c r="M37" s="314">
        <v>110</v>
      </c>
      <c r="N37" s="314">
        <v>18</v>
      </c>
      <c r="O37" s="312"/>
      <c r="P37" s="166">
        <f t="shared" si="0"/>
        <v>650</v>
      </c>
      <c r="Q37" s="312"/>
      <c r="R37" s="315">
        <v>46122</v>
      </c>
      <c r="S37" s="315">
        <v>46127</v>
      </c>
      <c r="T37" s="315"/>
      <c r="U37" s="166" t="s">
        <v>373</v>
      </c>
      <c r="V37" s="316" t="s">
        <v>201</v>
      </c>
      <c r="W37" s="312" t="s">
        <v>38</v>
      </c>
      <c r="X37" s="317"/>
      <c r="Y37" s="161" t="s">
        <v>244</v>
      </c>
      <c r="Z37" s="310" t="s">
        <v>31</v>
      </c>
      <c r="AA37" s="310" t="s">
        <v>39</v>
      </c>
      <c r="AB37" s="52" t="s">
        <v>89</v>
      </c>
      <c r="AC37" s="310">
        <v>45999</v>
      </c>
    </row>
    <row r="38" spans="1:30" s="102" customFormat="1" ht="49.7" customHeight="1">
      <c r="A38" s="53" t="s">
        <v>16</v>
      </c>
      <c r="B38" s="54">
        <v>2512080</v>
      </c>
      <c r="C38" s="54">
        <v>70644</v>
      </c>
      <c r="D38" s="53" t="s">
        <v>238</v>
      </c>
      <c r="E38" s="54">
        <v>713953</v>
      </c>
      <c r="F38" s="55" t="s">
        <v>18</v>
      </c>
      <c r="G38" s="53" t="s">
        <v>19</v>
      </c>
      <c r="H38" s="55" t="s">
        <v>88</v>
      </c>
      <c r="I38" s="56">
        <v>180</v>
      </c>
      <c r="J38" s="56">
        <v>540</v>
      </c>
      <c r="K38" s="56">
        <v>720</v>
      </c>
      <c r="L38" s="56">
        <v>720</v>
      </c>
      <c r="M38" s="56">
        <v>540</v>
      </c>
      <c r="N38" s="56">
        <v>300</v>
      </c>
      <c r="O38" s="55"/>
      <c r="P38" s="166">
        <f t="shared" si="0"/>
        <v>3000</v>
      </c>
      <c r="Q38" s="55"/>
      <c r="R38" s="100">
        <v>46137</v>
      </c>
      <c r="S38" s="100">
        <v>46142</v>
      </c>
      <c r="T38" s="100"/>
      <c r="U38" s="166" t="s">
        <v>373</v>
      </c>
      <c r="V38" s="55" t="s">
        <v>286</v>
      </c>
      <c r="W38" s="55" t="s">
        <v>239</v>
      </c>
      <c r="X38" s="57" t="s">
        <v>239</v>
      </c>
      <c r="Y38" s="161" t="s">
        <v>244</v>
      </c>
      <c r="Z38" s="53" t="s">
        <v>240</v>
      </c>
      <c r="AA38" s="53" t="s">
        <v>241</v>
      </c>
      <c r="AB38" s="53" t="s">
        <v>89</v>
      </c>
      <c r="AC38" s="58">
        <v>46009</v>
      </c>
    </row>
    <row r="39" spans="1:30" s="102" customFormat="1" ht="49.7" customHeight="1">
      <c r="A39" s="53" t="s">
        <v>16</v>
      </c>
      <c r="B39" s="54">
        <v>2512080</v>
      </c>
      <c r="C39" s="54">
        <v>70644</v>
      </c>
      <c r="D39" s="53" t="s">
        <v>245</v>
      </c>
      <c r="E39" s="54">
        <v>713953</v>
      </c>
      <c r="F39" s="55" t="s">
        <v>18</v>
      </c>
      <c r="G39" s="53" t="s">
        <v>19</v>
      </c>
      <c r="H39" s="55" t="s">
        <v>88</v>
      </c>
      <c r="I39" s="56">
        <v>30</v>
      </c>
      <c r="J39" s="56">
        <v>69</v>
      </c>
      <c r="K39" s="56">
        <v>139</v>
      </c>
      <c r="L39" s="56">
        <v>138</v>
      </c>
      <c r="M39" s="56">
        <v>104</v>
      </c>
      <c r="N39" s="56">
        <v>34</v>
      </c>
      <c r="O39" s="55"/>
      <c r="P39" s="166">
        <f t="shared" si="0"/>
        <v>514</v>
      </c>
      <c r="Q39" s="55"/>
      <c r="R39" s="100">
        <v>46137</v>
      </c>
      <c r="S39" s="100">
        <v>46142</v>
      </c>
      <c r="T39" s="100"/>
      <c r="U39" s="166" t="s">
        <v>373</v>
      </c>
      <c r="V39" s="55" t="s">
        <v>287</v>
      </c>
      <c r="W39" s="55" t="s">
        <v>246</v>
      </c>
      <c r="X39" s="57" t="s">
        <v>247</v>
      </c>
      <c r="Y39" s="161" t="s">
        <v>244</v>
      </c>
      <c r="Z39" s="53" t="s">
        <v>48</v>
      </c>
      <c r="AA39" s="53" t="s">
        <v>248</v>
      </c>
      <c r="AB39" s="53" t="s">
        <v>89</v>
      </c>
      <c r="AC39" s="58">
        <v>46009</v>
      </c>
    </row>
    <row r="40" spans="1:30" s="102" customFormat="1" ht="49.7" customHeight="1">
      <c r="A40" s="53" t="s">
        <v>16</v>
      </c>
      <c r="B40" s="54">
        <v>2512080</v>
      </c>
      <c r="C40" s="54">
        <v>70644</v>
      </c>
      <c r="D40" s="53" t="s">
        <v>249</v>
      </c>
      <c r="E40" s="54">
        <v>713953</v>
      </c>
      <c r="F40" s="55" t="s">
        <v>18</v>
      </c>
      <c r="G40" s="53" t="s">
        <v>19</v>
      </c>
      <c r="H40" s="55" t="s">
        <v>88</v>
      </c>
      <c r="I40" s="56">
        <v>56</v>
      </c>
      <c r="J40" s="56">
        <v>188</v>
      </c>
      <c r="K40" s="56">
        <v>246</v>
      </c>
      <c r="L40" s="56">
        <v>293</v>
      </c>
      <c r="M40" s="56">
        <v>134</v>
      </c>
      <c r="N40" s="56">
        <v>29</v>
      </c>
      <c r="O40" s="55"/>
      <c r="P40" s="166">
        <f t="shared" si="0"/>
        <v>946</v>
      </c>
      <c r="Q40" s="55"/>
      <c r="R40" s="100">
        <v>46137</v>
      </c>
      <c r="S40" s="100">
        <v>46142</v>
      </c>
      <c r="T40" s="100"/>
      <c r="U40" s="166" t="s">
        <v>373</v>
      </c>
      <c r="V40" s="55" t="s">
        <v>288</v>
      </c>
      <c r="W40" s="55" t="s">
        <v>250</v>
      </c>
      <c r="X40" s="57" t="s">
        <v>251</v>
      </c>
      <c r="Y40" s="161" t="s">
        <v>244</v>
      </c>
      <c r="Z40" s="53" t="s">
        <v>48</v>
      </c>
      <c r="AA40" s="53" t="s">
        <v>252</v>
      </c>
      <c r="AB40" s="53" t="s">
        <v>89</v>
      </c>
      <c r="AC40" s="58">
        <v>46009</v>
      </c>
    </row>
    <row r="41" spans="1:30" s="102" customFormat="1" ht="49.7" customHeight="1">
      <c r="A41" s="53" t="s">
        <v>16</v>
      </c>
      <c r="B41" s="54">
        <v>2512080</v>
      </c>
      <c r="C41" s="54">
        <v>70644</v>
      </c>
      <c r="D41" s="53" t="s">
        <v>253</v>
      </c>
      <c r="E41" s="54">
        <v>713953</v>
      </c>
      <c r="F41" s="55" t="s">
        <v>18</v>
      </c>
      <c r="G41" s="53" t="s">
        <v>19</v>
      </c>
      <c r="H41" s="55" t="s">
        <v>88</v>
      </c>
      <c r="I41" s="56">
        <v>23</v>
      </c>
      <c r="J41" s="56">
        <v>59</v>
      </c>
      <c r="K41" s="56">
        <v>62</v>
      </c>
      <c r="L41" s="56">
        <v>47</v>
      </c>
      <c r="M41" s="56">
        <v>34</v>
      </c>
      <c r="N41" s="56">
        <v>12</v>
      </c>
      <c r="O41" s="55"/>
      <c r="P41" s="166">
        <f t="shared" si="0"/>
        <v>237</v>
      </c>
      <c r="Q41" s="55"/>
      <c r="R41" s="100">
        <v>46137</v>
      </c>
      <c r="S41" s="100">
        <v>46142</v>
      </c>
      <c r="T41" s="100"/>
      <c r="U41" s="166" t="s">
        <v>373</v>
      </c>
      <c r="V41" s="55" t="s">
        <v>289</v>
      </c>
      <c r="W41" s="55" t="s">
        <v>254</v>
      </c>
      <c r="X41" s="57"/>
      <c r="Y41" s="161" t="s">
        <v>244</v>
      </c>
      <c r="Z41" s="53" t="s">
        <v>48</v>
      </c>
      <c r="AA41" s="53" t="s">
        <v>255</v>
      </c>
      <c r="AB41" s="53" t="s">
        <v>89</v>
      </c>
      <c r="AC41" s="58">
        <v>46009</v>
      </c>
    </row>
    <row r="42" spans="1:30" s="102" customFormat="1" ht="49.7" customHeight="1">
      <c r="A42" s="53" t="s">
        <v>16</v>
      </c>
      <c r="B42" s="54">
        <v>2512080</v>
      </c>
      <c r="C42" s="54">
        <v>70644</v>
      </c>
      <c r="D42" s="53" t="s">
        <v>256</v>
      </c>
      <c r="E42" s="54">
        <v>713953</v>
      </c>
      <c r="F42" s="55" t="s">
        <v>18</v>
      </c>
      <c r="G42" s="53" t="s">
        <v>19</v>
      </c>
      <c r="H42" s="55" t="s">
        <v>88</v>
      </c>
      <c r="I42" s="56">
        <v>127</v>
      </c>
      <c r="J42" s="56">
        <v>469</v>
      </c>
      <c r="K42" s="56">
        <v>808</v>
      </c>
      <c r="L42" s="56">
        <v>809</v>
      </c>
      <c r="M42" s="56">
        <v>482</v>
      </c>
      <c r="N42" s="56">
        <v>131</v>
      </c>
      <c r="O42" s="55"/>
      <c r="P42" s="166">
        <f t="shared" si="0"/>
        <v>2826</v>
      </c>
      <c r="Q42" s="55"/>
      <c r="R42" s="100">
        <v>46137</v>
      </c>
      <c r="S42" s="100">
        <v>46142</v>
      </c>
      <c r="T42" s="100"/>
      <c r="U42" s="166" t="s">
        <v>373</v>
      </c>
      <c r="V42" s="55" t="s">
        <v>290</v>
      </c>
      <c r="W42" s="55" t="s">
        <v>257</v>
      </c>
      <c r="X42" s="57" t="s">
        <v>258</v>
      </c>
      <c r="Y42" s="161" t="s">
        <v>244</v>
      </c>
      <c r="Z42" s="53" t="s">
        <v>48</v>
      </c>
      <c r="AA42" s="53" t="s">
        <v>259</v>
      </c>
      <c r="AB42" s="53" t="s">
        <v>89</v>
      </c>
      <c r="AC42" s="58">
        <v>46009</v>
      </c>
    </row>
    <row r="43" spans="1:30" s="102" customFormat="1" ht="49.7" customHeight="1">
      <c r="A43" s="53" t="s">
        <v>16</v>
      </c>
      <c r="B43" s="54">
        <v>2512080</v>
      </c>
      <c r="C43" s="54">
        <v>70644</v>
      </c>
      <c r="D43" s="53" t="s">
        <v>238</v>
      </c>
      <c r="E43" s="54">
        <v>713953</v>
      </c>
      <c r="F43" s="55" t="s">
        <v>18</v>
      </c>
      <c r="G43" s="53" t="s">
        <v>19</v>
      </c>
      <c r="H43" s="55" t="s">
        <v>88</v>
      </c>
      <c r="I43" s="56">
        <v>600</v>
      </c>
      <c r="J43" s="56">
        <v>1440</v>
      </c>
      <c r="K43" s="56">
        <v>1680</v>
      </c>
      <c r="L43" s="56">
        <v>1620</v>
      </c>
      <c r="M43" s="56">
        <v>1140</v>
      </c>
      <c r="N43" s="56">
        <v>600</v>
      </c>
      <c r="O43" s="55"/>
      <c r="P43" s="166">
        <f t="shared" si="0"/>
        <v>7080</v>
      </c>
      <c r="Q43" s="55"/>
      <c r="R43" s="100">
        <v>46137</v>
      </c>
      <c r="S43" s="100">
        <v>46142</v>
      </c>
      <c r="T43" s="100"/>
      <c r="U43" s="166" t="s">
        <v>373</v>
      </c>
      <c r="V43" s="55" t="s">
        <v>291</v>
      </c>
      <c r="W43" s="55" t="s">
        <v>239</v>
      </c>
      <c r="X43" s="57" t="s">
        <v>239</v>
      </c>
      <c r="Y43" s="161" t="s">
        <v>244</v>
      </c>
      <c r="Z43" s="53" t="s">
        <v>240</v>
      </c>
      <c r="AA43" s="53" t="s">
        <v>241</v>
      </c>
      <c r="AB43" s="53" t="s">
        <v>89</v>
      </c>
      <c r="AC43" s="58">
        <v>46009</v>
      </c>
    </row>
    <row r="44" spans="1:30" s="102" customFormat="1" ht="49.7" customHeight="1">
      <c r="A44" s="53" t="s">
        <v>16</v>
      </c>
      <c r="B44" s="54">
        <v>2512080</v>
      </c>
      <c r="C44" s="54">
        <v>70644</v>
      </c>
      <c r="D44" s="53" t="s">
        <v>238</v>
      </c>
      <c r="E44" s="54">
        <v>713953</v>
      </c>
      <c r="F44" s="55" t="s">
        <v>18</v>
      </c>
      <c r="G44" s="53" t="s">
        <v>19</v>
      </c>
      <c r="H44" s="55" t="s">
        <v>88</v>
      </c>
      <c r="I44" s="55"/>
      <c r="J44" s="55"/>
      <c r="K44" s="55"/>
      <c r="L44" s="55"/>
      <c r="M44" s="55"/>
      <c r="N44" s="55"/>
      <c r="O44" s="56">
        <v>180</v>
      </c>
      <c r="P44" s="166">
        <f t="shared" si="0"/>
        <v>180</v>
      </c>
      <c r="Q44" s="55"/>
      <c r="R44" s="100">
        <v>46137</v>
      </c>
      <c r="S44" s="100">
        <v>46142</v>
      </c>
      <c r="T44" s="100"/>
      <c r="U44" s="166" t="s">
        <v>373</v>
      </c>
      <c r="V44" s="55" t="s">
        <v>291</v>
      </c>
      <c r="W44" s="55" t="s">
        <v>239</v>
      </c>
      <c r="X44" s="57" t="s">
        <v>239</v>
      </c>
      <c r="Y44" s="161" t="s">
        <v>244</v>
      </c>
      <c r="Z44" s="53" t="s">
        <v>240</v>
      </c>
      <c r="AA44" s="53" t="s">
        <v>241</v>
      </c>
      <c r="AB44" s="53" t="s">
        <v>89</v>
      </c>
      <c r="AC44" s="58">
        <v>46009</v>
      </c>
    </row>
    <row r="45" spans="1:30" s="102" customFormat="1" ht="49.7" customHeight="1">
      <c r="A45" s="53" t="s">
        <v>16</v>
      </c>
      <c r="B45" s="54">
        <v>2512080</v>
      </c>
      <c r="C45" s="54">
        <v>70644</v>
      </c>
      <c r="D45" s="53" t="s">
        <v>266</v>
      </c>
      <c r="E45" s="54">
        <v>713953</v>
      </c>
      <c r="F45" s="55" t="s">
        <v>18</v>
      </c>
      <c r="G45" s="53" t="s">
        <v>19</v>
      </c>
      <c r="H45" s="55" t="s">
        <v>88</v>
      </c>
      <c r="I45" s="56">
        <v>7</v>
      </c>
      <c r="J45" s="56">
        <v>7</v>
      </c>
      <c r="K45" s="56">
        <v>8</v>
      </c>
      <c r="L45" s="56">
        <v>17</v>
      </c>
      <c r="M45" s="56">
        <v>5</v>
      </c>
      <c r="N45" s="56">
        <v>6</v>
      </c>
      <c r="O45" s="55"/>
      <c r="P45" s="166">
        <f t="shared" si="0"/>
        <v>50</v>
      </c>
      <c r="Q45" s="55"/>
      <c r="R45" s="100">
        <v>46137</v>
      </c>
      <c r="S45" s="100">
        <v>46142</v>
      </c>
      <c r="T45" s="100"/>
      <c r="U45" s="166" t="s">
        <v>373</v>
      </c>
      <c r="V45" s="55" t="s">
        <v>292</v>
      </c>
      <c r="W45" s="55" t="s">
        <v>267</v>
      </c>
      <c r="X45" s="57"/>
      <c r="Y45" s="161" t="s">
        <v>244</v>
      </c>
      <c r="Z45" s="53" t="s">
        <v>31</v>
      </c>
      <c r="AA45" s="53" t="s">
        <v>268</v>
      </c>
      <c r="AB45" s="53" t="s">
        <v>89</v>
      </c>
      <c r="AC45" s="58">
        <v>46009</v>
      </c>
    </row>
    <row r="46" spans="1:30" s="102" customFormat="1" ht="49.7" customHeight="1">
      <c r="A46" s="53" t="s">
        <v>16</v>
      </c>
      <c r="B46" s="54">
        <v>2512080</v>
      </c>
      <c r="C46" s="54">
        <v>70644</v>
      </c>
      <c r="D46" s="53" t="s">
        <v>262</v>
      </c>
      <c r="E46" s="54">
        <v>713953</v>
      </c>
      <c r="F46" s="55" t="s">
        <v>18</v>
      </c>
      <c r="G46" s="53" t="s">
        <v>19</v>
      </c>
      <c r="H46" s="55" t="s">
        <v>88</v>
      </c>
      <c r="I46" s="55"/>
      <c r="J46" s="56">
        <v>16</v>
      </c>
      <c r="K46" s="56">
        <v>25</v>
      </c>
      <c r="L46" s="56">
        <v>27</v>
      </c>
      <c r="M46" s="56">
        <v>13</v>
      </c>
      <c r="N46" s="55"/>
      <c r="O46" s="55"/>
      <c r="P46" s="166">
        <f t="shared" si="0"/>
        <v>81</v>
      </c>
      <c r="Q46" s="55"/>
      <c r="R46" s="100">
        <v>46137</v>
      </c>
      <c r="S46" s="100">
        <v>46142</v>
      </c>
      <c r="T46" s="100"/>
      <c r="U46" s="166" t="s">
        <v>373</v>
      </c>
      <c r="V46" s="55" t="s">
        <v>293</v>
      </c>
      <c r="W46" s="55" t="s">
        <v>263</v>
      </c>
      <c r="X46" s="57" t="s">
        <v>264</v>
      </c>
      <c r="Y46" s="161" t="s">
        <v>244</v>
      </c>
      <c r="Z46" s="53" t="s">
        <v>48</v>
      </c>
      <c r="AA46" s="53" t="s">
        <v>265</v>
      </c>
      <c r="AB46" s="53" t="s">
        <v>89</v>
      </c>
      <c r="AC46" s="58">
        <v>46009</v>
      </c>
    </row>
    <row r="47" spans="1:30" s="102" customFormat="1" ht="49.7" customHeight="1">
      <c r="A47" s="53" t="s">
        <v>16</v>
      </c>
      <c r="B47" s="54">
        <v>2512080</v>
      </c>
      <c r="C47" s="54">
        <v>70644</v>
      </c>
      <c r="D47" s="53" t="s">
        <v>260</v>
      </c>
      <c r="E47" s="54">
        <v>713953</v>
      </c>
      <c r="F47" s="55" t="s">
        <v>18</v>
      </c>
      <c r="G47" s="53" t="s">
        <v>19</v>
      </c>
      <c r="H47" s="55" t="s">
        <v>88</v>
      </c>
      <c r="I47" s="56">
        <v>23</v>
      </c>
      <c r="J47" s="56">
        <v>37</v>
      </c>
      <c r="K47" s="56">
        <v>35</v>
      </c>
      <c r="L47" s="56">
        <v>17</v>
      </c>
      <c r="M47" s="56">
        <v>7</v>
      </c>
      <c r="N47" s="56">
        <v>1</v>
      </c>
      <c r="O47" s="55"/>
      <c r="P47" s="166">
        <f t="shared" si="0"/>
        <v>120</v>
      </c>
      <c r="Q47" s="55"/>
      <c r="R47" s="100">
        <v>46137</v>
      </c>
      <c r="S47" s="100">
        <v>46142</v>
      </c>
      <c r="T47" s="100"/>
      <c r="U47" s="166" t="s">
        <v>373</v>
      </c>
      <c r="V47" s="59" t="s">
        <v>392</v>
      </c>
      <c r="W47" s="60" t="s">
        <v>250</v>
      </c>
      <c r="X47" s="61" t="s">
        <v>261</v>
      </c>
      <c r="Y47" s="161" t="s">
        <v>244</v>
      </c>
      <c r="Z47" s="53" t="s">
        <v>48</v>
      </c>
      <c r="AA47" s="53" t="s">
        <v>101</v>
      </c>
      <c r="AB47" s="53" t="s">
        <v>89</v>
      </c>
      <c r="AC47" s="58">
        <v>46009</v>
      </c>
    </row>
    <row r="48" spans="1:30" s="364" customFormat="1" ht="40.700000000000003" customHeight="1">
      <c r="A48" s="356" t="s">
        <v>16</v>
      </c>
      <c r="B48" s="357">
        <v>2602028</v>
      </c>
      <c r="C48" s="357">
        <v>70644</v>
      </c>
      <c r="D48" s="356" t="s">
        <v>314</v>
      </c>
      <c r="E48" s="357">
        <v>713953</v>
      </c>
      <c r="F48" s="358" t="s">
        <v>18</v>
      </c>
      <c r="G48" s="356" t="s">
        <v>19</v>
      </c>
      <c r="H48" s="358" t="s">
        <v>88</v>
      </c>
      <c r="I48" s="359">
        <v>2</v>
      </c>
      <c r="J48" s="359">
        <v>12</v>
      </c>
      <c r="K48" s="359">
        <v>24</v>
      </c>
      <c r="L48" s="359">
        <v>24</v>
      </c>
      <c r="M48" s="359">
        <v>13</v>
      </c>
      <c r="N48" s="359">
        <v>1</v>
      </c>
      <c r="O48" s="358"/>
      <c r="P48" s="360">
        <v>76</v>
      </c>
      <c r="Q48" s="358"/>
      <c r="R48" s="361">
        <v>46203</v>
      </c>
      <c r="S48" s="361">
        <v>46208</v>
      </c>
      <c r="T48" s="361"/>
      <c r="U48" s="166" t="s">
        <v>373</v>
      </c>
      <c r="V48" s="358" t="s">
        <v>413</v>
      </c>
      <c r="W48" s="358" t="s">
        <v>28</v>
      </c>
      <c r="X48" s="362" t="s">
        <v>315</v>
      </c>
      <c r="Y48" s="161" t="s">
        <v>244</v>
      </c>
      <c r="Z48" s="356" t="s">
        <v>316</v>
      </c>
      <c r="AA48" s="356" t="s">
        <v>317</v>
      </c>
      <c r="AB48" s="356" t="s">
        <v>89</v>
      </c>
      <c r="AC48" s="363">
        <v>46057</v>
      </c>
      <c r="AD48" s="102" t="s">
        <v>396</v>
      </c>
    </row>
    <row r="49" spans="1:30" s="364" customFormat="1" ht="40.700000000000003" customHeight="1">
      <c r="A49" s="356" t="s">
        <v>16</v>
      </c>
      <c r="B49" s="357">
        <v>2602028</v>
      </c>
      <c r="C49" s="357">
        <v>70644</v>
      </c>
      <c r="D49" s="356" t="s">
        <v>318</v>
      </c>
      <c r="E49" s="357">
        <v>713953</v>
      </c>
      <c r="F49" s="358" t="s">
        <v>18</v>
      </c>
      <c r="G49" s="356" t="s">
        <v>19</v>
      </c>
      <c r="H49" s="358" t="s">
        <v>88</v>
      </c>
      <c r="I49" s="359">
        <v>1</v>
      </c>
      <c r="J49" s="359">
        <v>5</v>
      </c>
      <c r="K49" s="359">
        <v>12</v>
      </c>
      <c r="L49" s="359">
        <v>14</v>
      </c>
      <c r="M49" s="359">
        <v>11</v>
      </c>
      <c r="N49" s="359">
        <v>6</v>
      </c>
      <c r="O49" s="358"/>
      <c r="P49" s="360">
        <v>49</v>
      </c>
      <c r="Q49" s="358"/>
      <c r="R49" s="361">
        <v>46183</v>
      </c>
      <c r="S49" s="361">
        <v>46188</v>
      </c>
      <c r="T49" s="361"/>
      <c r="U49" s="166" t="s">
        <v>373</v>
      </c>
      <c r="V49" s="358" t="s">
        <v>414</v>
      </c>
      <c r="W49" s="358" t="s">
        <v>40</v>
      </c>
      <c r="X49" s="362"/>
      <c r="Y49" s="161" t="s">
        <v>244</v>
      </c>
      <c r="Z49" s="356" t="s">
        <v>31</v>
      </c>
      <c r="AA49" s="356" t="s">
        <v>319</v>
      </c>
      <c r="AB49" s="356" t="s">
        <v>89</v>
      </c>
      <c r="AC49" s="363">
        <v>46057</v>
      </c>
      <c r="AD49" s="102" t="s">
        <v>396</v>
      </c>
    </row>
    <row r="50" spans="1:30" s="364" customFormat="1" ht="40.700000000000003" customHeight="1">
      <c r="A50" s="356" t="s">
        <v>16</v>
      </c>
      <c r="B50" s="357">
        <v>2602028</v>
      </c>
      <c r="C50" s="357">
        <v>70644</v>
      </c>
      <c r="D50" s="356" t="s">
        <v>318</v>
      </c>
      <c r="E50" s="357">
        <v>713953</v>
      </c>
      <c r="F50" s="358" t="s">
        <v>18</v>
      </c>
      <c r="G50" s="356" t="s">
        <v>19</v>
      </c>
      <c r="H50" s="358" t="s">
        <v>88</v>
      </c>
      <c r="I50" s="358"/>
      <c r="J50" s="358"/>
      <c r="K50" s="358"/>
      <c r="L50" s="358"/>
      <c r="M50" s="358"/>
      <c r="N50" s="358"/>
      <c r="O50" s="359">
        <v>1</v>
      </c>
      <c r="P50" s="360">
        <v>1</v>
      </c>
      <c r="Q50" s="358"/>
      <c r="R50" s="361">
        <v>46183</v>
      </c>
      <c r="S50" s="361">
        <v>46188</v>
      </c>
      <c r="T50" s="361"/>
      <c r="U50" s="166" t="s">
        <v>373</v>
      </c>
      <c r="V50" s="358" t="s">
        <v>414</v>
      </c>
      <c r="W50" s="358" t="s">
        <v>40</v>
      </c>
      <c r="X50" s="362"/>
      <c r="Y50" s="161" t="s">
        <v>244</v>
      </c>
      <c r="Z50" s="356" t="s">
        <v>31</v>
      </c>
      <c r="AA50" s="356" t="s">
        <v>319</v>
      </c>
      <c r="AB50" s="356" t="s">
        <v>89</v>
      </c>
      <c r="AC50" s="363">
        <v>46057</v>
      </c>
      <c r="AD50" s="102" t="s">
        <v>396</v>
      </c>
    </row>
    <row r="51" spans="1:30" s="364" customFormat="1" ht="40.700000000000003" customHeight="1">
      <c r="A51" s="356" t="s">
        <v>16</v>
      </c>
      <c r="B51" s="357">
        <v>2602028</v>
      </c>
      <c r="C51" s="357">
        <v>70644</v>
      </c>
      <c r="D51" s="356" t="s">
        <v>407</v>
      </c>
      <c r="E51" s="357">
        <v>713953</v>
      </c>
      <c r="F51" s="358" t="s">
        <v>18</v>
      </c>
      <c r="G51" s="356" t="s">
        <v>19</v>
      </c>
      <c r="H51" s="358" t="s">
        <v>88</v>
      </c>
      <c r="I51" s="358"/>
      <c r="J51" s="359">
        <v>137</v>
      </c>
      <c r="K51" s="359">
        <v>137</v>
      </c>
      <c r="L51" s="359">
        <v>92</v>
      </c>
      <c r="M51" s="359">
        <v>92</v>
      </c>
      <c r="N51" s="358"/>
      <c r="O51" s="358"/>
      <c r="P51" s="360">
        <v>458</v>
      </c>
      <c r="Q51" s="358"/>
      <c r="R51" s="361">
        <v>46213</v>
      </c>
      <c r="S51" s="361">
        <v>46218</v>
      </c>
      <c r="T51" s="361"/>
      <c r="U51" s="166" t="s">
        <v>373</v>
      </c>
      <c r="V51" s="358" t="s">
        <v>415</v>
      </c>
      <c r="W51" s="358" t="s">
        <v>409</v>
      </c>
      <c r="X51" s="362"/>
      <c r="Y51" s="161" t="s">
        <v>244</v>
      </c>
      <c r="Z51" s="356" t="s">
        <v>316</v>
      </c>
      <c r="AA51" s="356" t="s">
        <v>410</v>
      </c>
      <c r="AB51" s="356" t="s">
        <v>89</v>
      </c>
      <c r="AC51" s="363">
        <v>46057</v>
      </c>
      <c r="AD51" s="102" t="s">
        <v>396</v>
      </c>
    </row>
    <row r="52" spans="1:30" s="364" customFormat="1" ht="40.700000000000003" customHeight="1">
      <c r="A52" s="356" t="s">
        <v>16</v>
      </c>
      <c r="B52" s="357">
        <v>2602028</v>
      </c>
      <c r="C52" s="357">
        <v>70644</v>
      </c>
      <c r="D52" s="356" t="s">
        <v>314</v>
      </c>
      <c r="E52" s="357">
        <v>713953</v>
      </c>
      <c r="F52" s="358" t="s">
        <v>18</v>
      </c>
      <c r="G52" s="356" t="s">
        <v>19</v>
      </c>
      <c r="H52" s="358" t="s">
        <v>88</v>
      </c>
      <c r="I52" s="359">
        <v>2</v>
      </c>
      <c r="J52" s="359">
        <v>30</v>
      </c>
      <c r="K52" s="359">
        <v>47</v>
      </c>
      <c r="L52" s="359">
        <v>49</v>
      </c>
      <c r="M52" s="359">
        <v>29</v>
      </c>
      <c r="N52" s="359">
        <v>15</v>
      </c>
      <c r="O52" s="358"/>
      <c r="P52" s="360">
        <v>172</v>
      </c>
      <c r="Q52" s="358"/>
      <c r="R52" s="361">
        <v>46183</v>
      </c>
      <c r="S52" s="361">
        <v>46188</v>
      </c>
      <c r="T52" s="361"/>
      <c r="U52" s="166" t="s">
        <v>373</v>
      </c>
      <c r="V52" s="358" t="s">
        <v>416</v>
      </c>
      <c r="W52" s="358" t="s">
        <v>28</v>
      </c>
      <c r="X52" s="362" t="s">
        <v>315</v>
      </c>
      <c r="Y52" s="161" t="s">
        <v>244</v>
      </c>
      <c r="Z52" s="356" t="s">
        <v>316</v>
      </c>
      <c r="AA52" s="356" t="s">
        <v>317</v>
      </c>
      <c r="AB52" s="356" t="s">
        <v>89</v>
      </c>
      <c r="AC52" s="363">
        <v>46057</v>
      </c>
      <c r="AD52" s="102" t="s">
        <v>396</v>
      </c>
    </row>
    <row r="53" spans="1:30" s="364" customFormat="1" ht="40.700000000000003" customHeight="1">
      <c r="A53" s="356" t="s">
        <v>16</v>
      </c>
      <c r="B53" s="357">
        <v>2602028</v>
      </c>
      <c r="C53" s="357">
        <v>70644</v>
      </c>
      <c r="D53" s="356" t="s">
        <v>314</v>
      </c>
      <c r="E53" s="357">
        <v>713953</v>
      </c>
      <c r="F53" s="358" t="s">
        <v>18</v>
      </c>
      <c r="G53" s="356" t="s">
        <v>19</v>
      </c>
      <c r="H53" s="358" t="s">
        <v>88</v>
      </c>
      <c r="I53" s="358"/>
      <c r="J53" s="358"/>
      <c r="K53" s="358"/>
      <c r="L53" s="358"/>
      <c r="M53" s="358"/>
      <c r="N53" s="358"/>
      <c r="O53" s="359">
        <v>2</v>
      </c>
      <c r="P53" s="360">
        <v>2</v>
      </c>
      <c r="Q53" s="358"/>
      <c r="R53" s="361">
        <v>46183</v>
      </c>
      <c r="S53" s="361">
        <v>46188</v>
      </c>
      <c r="T53" s="361"/>
      <c r="U53" s="166" t="s">
        <v>373</v>
      </c>
      <c r="V53" s="358" t="s">
        <v>416</v>
      </c>
      <c r="W53" s="358" t="s">
        <v>28</v>
      </c>
      <c r="X53" s="362" t="s">
        <v>315</v>
      </c>
      <c r="Y53" s="161" t="s">
        <v>244</v>
      </c>
      <c r="Z53" s="356" t="s">
        <v>316</v>
      </c>
      <c r="AA53" s="356" t="s">
        <v>317</v>
      </c>
      <c r="AB53" s="356" t="s">
        <v>89</v>
      </c>
      <c r="AC53" s="363">
        <v>46057</v>
      </c>
      <c r="AD53" s="102" t="s">
        <v>396</v>
      </c>
    </row>
    <row r="54" spans="1:30" s="364" customFormat="1" ht="40.700000000000003" customHeight="1">
      <c r="A54" s="356" t="s">
        <v>16</v>
      </c>
      <c r="B54" s="357">
        <v>2602028</v>
      </c>
      <c r="C54" s="357">
        <v>70644</v>
      </c>
      <c r="D54" s="356" t="s">
        <v>407</v>
      </c>
      <c r="E54" s="357">
        <v>713953</v>
      </c>
      <c r="F54" s="358" t="s">
        <v>18</v>
      </c>
      <c r="G54" s="356" t="s">
        <v>19</v>
      </c>
      <c r="H54" s="358" t="s">
        <v>88</v>
      </c>
      <c r="I54" s="358"/>
      <c r="J54" s="359">
        <v>10</v>
      </c>
      <c r="K54" s="359">
        <v>16</v>
      </c>
      <c r="L54" s="359">
        <v>15</v>
      </c>
      <c r="M54" s="359">
        <v>9</v>
      </c>
      <c r="N54" s="358"/>
      <c r="O54" s="358"/>
      <c r="P54" s="360">
        <v>50</v>
      </c>
      <c r="Q54" s="358"/>
      <c r="R54" s="361">
        <v>46213</v>
      </c>
      <c r="S54" s="361">
        <v>46218</v>
      </c>
      <c r="T54" s="361"/>
      <c r="U54" s="166" t="s">
        <v>373</v>
      </c>
      <c r="V54" s="358" t="s">
        <v>417</v>
      </c>
      <c r="W54" s="358" t="s">
        <v>409</v>
      </c>
      <c r="X54" s="362"/>
      <c r="Y54" s="161" t="s">
        <v>244</v>
      </c>
      <c r="Z54" s="356" t="s">
        <v>316</v>
      </c>
      <c r="AA54" s="356" t="s">
        <v>410</v>
      </c>
      <c r="AB54" s="356" t="s">
        <v>89</v>
      </c>
      <c r="AC54" s="363">
        <v>46057</v>
      </c>
      <c r="AD54" s="102" t="s">
        <v>396</v>
      </c>
    </row>
    <row r="55" spans="1:30" s="364" customFormat="1" ht="40.700000000000003" customHeight="1">
      <c r="A55" s="356" t="s">
        <v>16</v>
      </c>
      <c r="B55" s="357">
        <v>2602028</v>
      </c>
      <c r="C55" s="357">
        <v>70644</v>
      </c>
      <c r="D55" s="356" t="s">
        <v>407</v>
      </c>
      <c r="E55" s="357">
        <v>713953</v>
      </c>
      <c r="F55" s="358" t="s">
        <v>18</v>
      </c>
      <c r="G55" s="356" t="s">
        <v>19</v>
      </c>
      <c r="H55" s="358" t="s">
        <v>88</v>
      </c>
      <c r="I55" s="358"/>
      <c r="J55" s="358"/>
      <c r="K55" s="359">
        <v>180</v>
      </c>
      <c r="L55" s="359">
        <v>180</v>
      </c>
      <c r="M55" s="359">
        <v>90</v>
      </c>
      <c r="N55" s="358"/>
      <c r="O55" s="358"/>
      <c r="P55" s="360">
        <v>450</v>
      </c>
      <c r="Q55" s="358"/>
      <c r="R55" s="361">
        <v>46223</v>
      </c>
      <c r="S55" s="361">
        <v>46228</v>
      </c>
      <c r="T55" s="361"/>
      <c r="U55" s="166" t="s">
        <v>373</v>
      </c>
      <c r="V55" s="358" t="s">
        <v>418</v>
      </c>
      <c r="W55" s="358" t="s">
        <v>409</v>
      </c>
      <c r="X55" s="362"/>
      <c r="Y55" s="161" t="s">
        <v>244</v>
      </c>
      <c r="Z55" s="356" t="s">
        <v>316</v>
      </c>
      <c r="AA55" s="356" t="s">
        <v>410</v>
      </c>
      <c r="AB55" s="356" t="s">
        <v>89</v>
      </c>
      <c r="AC55" s="363">
        <v>46057</v>
      </c>
      <c r="AD55" s="102" t="s">
        <v>396</v>
      </c>
    </row>
    <row r="56" spans="1:30" s="102" customFormat="1" ht="49.7" customHeight="1">
      <c r="A56" s="170"/>
      <c r="B56" s="171"/>
      <c r="C56" s="171"/>
      <c r="D56" s="170"/>
      <c r="E56" s="171"/>
      <c r="F56" s="172"/>
      <c r="G56" s="170"/>
      <c r="H56" s="172"/>
      <c r="I56" s="173"/>
      <c r="J56" s="173"/>
      <c r="K56" s="173"/>
      <c r="L56" s="173"/>
      <c r="M56" s="173"/>
      <c r="N56" s="173"/>
      <c r="O56" s="173"/>
      <c r="P56" s="175"/>
      <c r="Q56" s="172"/>
      <c r="R56" s="174"/>
      <c r="S56" s="174"/>
      <c r="T56" s="174"/>
      <c r="U56" s="175"/>
      <c r="V56" s="175"/>
      <c r="W56" s="176"/>
      <c r="X56" s="177"/>
      <c r="Y56" s="170"/>
      <c r="Z56" s="170"/>
      <c r="AA56" s="170"/>
      <c r="AB56" s="170"/>
      <c r="AC56" s="178"/>
    </row>
    <row r="57" spans="1:30" s="102" customFormat="1" ht="49.7" customHeight="1">
      <c r="A57" s="170"/>
      <c r="B57" s="171"/>
      <c r="C57" s="171"/>
      <c r="D57" s="170"/>
      <c r="E57" s="171"/>
      <c r="F57" s="172"/>
      <c r="G57" s="170"/>
      <c r="H57" s="172"/>
      <c r="I57" s="173"/>
      <c r="J57" s="173"/>
      <c r="K57" s="173"/>
      <c r="L57" s="173"/>
      <c r="M57" s="173"/>
      <c r="N57" s="173"/>
      <c r="O57" s="172"/>
      <c r="P57" s="175"/>
      <c r="Q57" s="172"/>
      <c r="R57" s="174"/>
      <c r="S57" s="174"/>
      <c r="T57" s="174"/>
      <c r="U57" s="175"/>
      <c r="V57" s="175"/>
      <c r="W57" s="176"/>
      <c r="X57" s="177"/>
      <c r="Y57" s="170"/>
      <c r="Z57" s="170"/>
      <c r="AA57" s="170"/>
      <c r="AB57" s="170"/>
      <c r="AC57" s="178"/>
    </row>
    <row r="58" spans="1:30" ht="30.6" customHeight="1">
      <c r="I58" s="318"/>
      <c r="J58" s="318"/>
      <c r="K58" s="318"/>
      <c r="L58" s="318"/>
      <c r="M58" s="318"/>
      <c r="N58" s="318"/>
      <c r="O58" s="318"/>
      <c r="AC58" s="282"/>
    </row>
    <row r="59" spans="1:30" ht="30.6" customHeight="1">
      <c r="P59" s="107">
        <f>SUM(P7:P55)</f>
        <v>22966</v>
      </c>
    </row>
  </sheetData>
  <autoFilter ref="A6:AD55"/>
  <mergeCells count="2">
    <mergeCell ref="A2:D2"/>
    <mergeCell ref="A4:D4"/>
  </mergeCells>
  <pageMargins left="0" right="0" top="0.39370078740157483" bottom="0.74803149606299213" header="0.31496062992125984" footer="0.31496062992125984"/>
  <pageSetup paperSize="9" scale="20" orientation="landscape" r:id="rId1"/>
  <headerFooter>
    <oddFooter>&amp;C第 &amp;P 页，共 &amp;N 页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D58"/>
  <sheetViews>
    <sheetView tabSelected="1" view="pageBreakPreview" topLeftCell="A13" zoomScale="60" zoomScaleNormal="60" workbookViewId="0">
      <selection activeCell="Z31" sqref="Z31"/>
    </sheetView>
  </sheetViews>
  <sheetFormatPr defaultColWidth="9" defaultRowHeight="22.5"/>
  <cols>
    <col min="1" max="1" width="10.28515625" style="190" customWidth="1"/>
    <col min="2" max="2" width="16" style="190" customWidth="1"/>
    <col min="3" max="3" width="14.5703125" style="190" customWidth="1"/>
    <col min="4" max="4" width="15.85546875" style="189" customWidth="1"/>
    <col min="5" max="5" width="16" style="190" customWidth="1"/>
    <col min="6" max="6" width="12.140625" style="190" customWidth="1"/>
    <col min="7" max="7" width="18.85546875" style="190" customWidth="1"/>
    <col min="8" max="8" width="14.28515625" style="191" customWidth="1"/>
    <col min="9" max="9" width="12.140625" style="192" customWidth="1"/>
    <col min="10" max="10" width="11.140625" style="192" customWidth="1"/>
    <col min="11" max="11" width="9" style="192" customWidth="1"/>
    <col min="12" max="12" width="10.85546875" style="192" customWidth="1"/>
    <col min="13" max="13" width="11.28515625" style="192" customWidth="1"/>
    <col min="14" max="14" width="10.5703125" style="192" customWidth="1"/>
    <col min="15" max="15" width="10.42578125" style="192" customWidth="1"/>
    <col min="16" max="16" width="25.28515625" style="67" customWidth="1"/>
    <col min="17" max="17" width="9" style="191" customWidth="1"/>
    <col min="18" max="18" width="21" style="193" customWidth="1"/>
    <col min="19" max="19" width="22" style="191" customWidth="1"/>
    <col min="20" max="20" width="21.5703125" style="191" customWidth="1"/>
    <col min="21" max="21" width="10.140625" style="67" customWidth="1"/>
    <col min="22" max="22" width="22" style="67" customWidth="1"/>
    <col min="23" max="23" width="12.5703125" style="191" customWidth="1"/>
    <col min="24" max="24" width="12.5703125" style="194" customWidth="1"/>
    <col min="25" max="25" width="18.28515625" style="190" customWidth="1"/>
    <col min="26" max="26" width="14.85546875" style="190" customWidth="1"/>
    <col min="27" max="28" width="16.28515625" style="195" customWidth="1"/>
    <col min="29" max="29" width="16.7109375" style="195" customWidth="1"/>
    <col min="30" max="16384" width="9" style="196"/>
  </cols>
  <sheetData>
    <row r="1" spans="1:29">
      <c r="A1" s="188" t="s">
        <v>337</v>
      </c>
      <c r="B1" s="188"/>
      <c r="C1" s="188"/>
    </row>
    <row r="2" spans="1:29" ht="25.5" customHeight="1">
      <c r="A2" s="386" t="s">
        <v>85</v>
      </c>
      <c r="B2" s="386"/>
      <c r="C2" s="386"/>
      <c r="D2" s="386"/>
      <c r="E2" s="197"/>
      <c r="F2" s="197"/>
      <c r="G2" s="197"/>
      <c r="N2" s="198"/>
      <c r="O2" s="192" t="s">
        <v>338</v>
      </c>
      <c r="P2" s="199"/>
      <c r="Q2" s="200"/>
      <c r="R2" s="193" t="s">
        <v>429</v>
      </c>
      <c r="S2" s="201"/>
      <c r="T2" s="201"/>
      <c r="U2" s="202" t="s">
        <v>340</v>
      </c>
      <c r="W2" s="190"/>
      <c r="AA2" s="203"/>
      <c r="AB2" s="203"/>
      <c r="AC2" s="203"/>
    </row>
    <row r="3" spans="1:29" ht="25.5" customHeight="1">
      <c r="A3" s="204" t="s">
        <v>81</v>
      </c>
      <c r="B3" s="204"/>
      <c r="C3" s="204"/>
      <c r="E3" s="197"/>
      <c r="F3" s="205"/>
      <c r="G3" s="197"/>
      <c r="N3" s="206"/>
      <c r="O3" s="192" t="s">
        <v>341</v>
      </c>
      <c r="P3" s="207"/>
      <c r="Q3" s="208"/>
      <c r="R3" s="193" t="s">
        <v>342</v>
      </c>
      <c r="S3" s="201"/>
      <c r="T3" s="201"/>
      <c r="U3" s="209" t="s">
        <v>343</v>
      </c>
      <c r="W3" s="190"/>
      <c r="AA3" s="203"/>
      <c r="AB3" s="203"/>
      <c r="AC3" s="203"/>
    </row>
    <row r="4" spans="1:29" ht="75.75" customHeight="1">
      <c r="A4" s="386" t="s">
        <v>84</v>
      </c>
      <c r="B4" s="386"/>
      <c r="C4" s="386"/>
      <c r="D4" s="386"/>
      <c r="E4" s="197"/>
      <c r="F4" s="197"/>
      <c r="G4" s="197"/>
      <c r="H4" s="210"/>
      <c r="I4" s="211"/>
      <c r="N4" s="212"/>
      <c r="O4" s="192" t="s">
        <v>344</v>
      </c>
      <c r="P4" s="213"/>
      <c r="Q4" s="214"/>
      <c r="R4" s="193" t="s">
        <v>430</v>
      </c>
      <c r="S4" s="201"/>
      <c r="T4" s="201"/>
      <c r="U4" s="209" t="s">
        <v>346</v>
      </c>
      <c r="W4" s="190"/>
      <c r="Y4" s="67"/>
      <c r="AA4" s="203"/>
      <c r="AB4" s="203"/>
      <c r="AC4" s="203"/>
    </row>
    <row r="5" spans="1:29" ht="18.75" customHeight="1">
      <c r="A5" s="188" t="s">
        <v>362</v>
      </c>
      <c r="B5" s="188"/>
      <c r="C5" s="188"/>
      <c r="E5" s="215"/>
      <c r="F5" s="215"/>
      <c r="G5" s="215"/>
      <c r="N5" s="216"/>
      <c r="O5" s="216"/>
      <c r="P5" s="217"/>
      <c r="Q5" s="194"/>
      <c r="S5" s="194"/>
      <c r="T5" s="194"/>
      <c r="U5" s="218" t="s">
        <v>348</v>
      </c>
      <c r="W5" s="190"/>
      <c r="AA5" s="219"/>
      <c r="AB5" s="219"/>
      <c r="AC5" s="219"/>
    </row>
    <row r="6" spans="1:29" ht="49.7" customHeight="1">
      <c r="A6" s="220" t="s">
        <v>349</v>
      </c>
      <c r="B6" s="220" t="s">
        <v>350</v>
      </c>
      <c r="C6" s="221" t="s">
        <v>351</v>
      </c>
      <c r="D6" s="221" t="s">
        <v>352</v>
      </c>
      <c r="E6" s="222" t="s">
        <v>353</v>
      </c>
      <c r="F6" s="222" t="s">
        <v>0</v>
      </c>
      <c r="G6" s="222" t="s">
        <v>354</v>
      </c>
      <c r="H6" s="222" t="s">
        <v>355</v>
      </c>
      <c r="I6" s="223" t="s">
        <v>78</v>
      </c>
      <c r="J6" s="224" t="s">
        <v>1</v>
      </c>
      <c r="K6" s="224" t="s">
        <v>2</v>
      </c>
      <c r="L6" s="224" t="s">
        <v>3</v>
      </c>
      <c r="M6" s="224" t="s">
        <v>4</v>
      </c>
      <c r="N6" s="224" t="s">
        <v>5</v>
      </c>
      <c r="O6" s="224" t="s">
        <v>6</v>
      </c>
      <c r="P6" s="225" t="s">
        <v>7</v>
      </c>
      <c r="Q6" s="226" t="s">
        <v>356</v>
      </c>
      <c r="R6" s="227" t="s">
        <v>357</v>
      </c>
      <c r="S6" s="228" t="s">
        <v>8</v>
      </c>
      <c r="T6" s="229" t="s">
        <v>367</v>
      </c>
      <c r="U6" s="228" t="s">
        <v>9</v>
      </c>
      <c r="V6" s="230" t="s">
        <v>358</v>
      </c>
      <c r="W6" s="228" t="s">
        <v>10</v>
      </c>
      <c r="X6" s="228" t="s">
        <v>11</v>
      </c>
      <c r="Y6" s="228" t="s">
        <v>359</v>
      </c>
      <c r="Z6" s="228" t="s">
        <v>360</v>
      </c>
      <c r="AA6" s="228" t="s">
        <v>12</v>
      </c>
      <c r="AB6" s="231" t="s">
        <v>90</v>
      </c>
      <c r="AC6" s="232" t="s">
        <v>361</v>
      </c>
    </row>
    <row r="7" spans="1:29" s="244" customFormat="1" ht="33.950000000000003" customHeight="1">
      <c r="A7" s="233" t="s">
        <v>16</v>
      </c>
      <c r="B7" s="234">
        <v>2512045</v>
      </c>
      <c r="C7" s="234">
        <v>70639</v>
      </c>
      <c r="D7" s="235" t="s">
        <v>45</v>
      </c>
      <c r="E7" s="234">
        <v>713952</v>
      </c>
      <c r="F7" s="236" t="s">
        <v>18</v>
      </c>
      <c r="G7" s="233" t="s">
        <v>19</v>
      </c>
      <c r="H7" s="237" t="s">
        <v>88</v>
      </c>
      <c r="I7" s="238">
        <v>5</v>
      </c>
      <c r="J7" s="238">
        <v>20</v>
      </c>
      <c r="K7" s="238">
        <v>58</v>
      </c>
      <c r="L7" s="238">
        <v>59</v>
      </c>
      <c r="M7" s="238">
        <v>39</v>
      </c>
      <c r="N7" s="238">
        <v>20</v>
      </c>
      <c r="O7" s="236"/>
      <c r="P7" s="239">
        <f>SUM(I7:O7)</f>
        <v>201</v>
      </c>
      <c r="Q7" s="237"/>
      <c r="R7" s="240">
        <v>46162</v>
      </c>
      <c r="S7" s="240">
        <v>46167</v>
      </c>
      <c r="T7" s="240">
        <v>46167</v>
      </c>
      <c r="U7" s="241" t="s">
        <v>373</v>
      </c>
      <c r="V7" s="241" t="s">
        <v>153</v>
      </c>
      <c r="W7" s="237" t="s">
        <v>46</v>
      </c>
      <c r="X7" s="242"/>
      <c r="Y7" s="233" t="s">
        <v>330</v>
      </c>
      <c r="Z7" s="233" t="s">
        <v>31</v>
      </c>
      <c r="AA7" s="233" t="s">
        <v>47</v>
      </c>
      <c r="AB7" s="243" t="s">
        <v>89</v>
      </c>
      <c r="AC7" s="233">
        <v>46000</v>
      </c>
    </row>
    <row r="8" spans="1:29" s="244" customFormat="1" ht="33.950000000000003" customHeight="1">
      <c r="A8" s="233" t="s">
        <v>16</v>
      </c>
      <c r="B8" s="234">
        <v>2512045</v>
      </c>
      <c r="C8" s="234">
        <v>70639</v>
      </c>
      <c r="D8" s="235" t="s">
        <v>45</v>
      </c>
      <c r="E8" s="234">
        <v>713952</v>
      </c>
      <c r="F8" s="236" t="s">
        <v>18</v>
      </c>
      <c r="G8" s="233" t="s">
        <v>19</v>
      </c>
      <c r="H8" s="237" t="s">
        <v>88</v>
      </c>
      <c r="I8" s="236"/>
      <c r="J8" s="236"/>
      <c r="K8" s="236"/>
      <c r="L8" s="236"/>
      <c r="M8" s="236"/>
      <c r="N8" s="236"/>
      <c r="O8" s="239">
        <v>2</v>
      </c>
      <c r="P8" s="239">
        <f t="shared" ref="P8:P53" si="0">SUM(I8:O8)</f>
        <v>2</v>
      </c>
      <c r="Q8" s="237"/>
      <c r="R8" s="240">
        <v>46162</v>
      </c>
      <c r="S8" s="240">
        <v>46167</v>
      </c>
      <c r="T8" s="240">
        <v>46167</v>
      </c>
      <c r="U8" s="241" t="s">
        <v>373</v>
      </c>
      <c r="V8" s="241" t="s">
        <v>153</v>
      </c>
      <c r="W8" s="237" t="s">
        <v>46</v>
      </c>
      <c r="X8" s="242"/>
      <c r="Y8" s="233" t="s">
        <v>330</v>
      </c>
      <c r="Z8" s="233" t="s">
        <v>31</v>
      </c>
      <c r="AA8" s="233" t="s">
        <v>47</v>
      </c>
      <c r="AB8" s="243" t="s">
        <v>89</v>
      </c>
      <c r="AC8" s="233">
        <v>46000</v>
      </c>
    </row>
    <row r="9" spans="1:29" s="244" customFormat="1" ht="33.950000000000003" customHeight="1">
      <c r="A9" s="233" t="s">
        <v>16</v>
      </c>
      <c r="B9" s="234">
        <v>2512045</v>
      </c>
      <c r="C9" s="234">
        <v>70639</v>
      </c>
      <c r="D9" s="235" t="s">
        <v>96</v>
      </c>
      <c r="E9" s="234">
        <v>713952</v>
      </c>
      <c r="F9" s="236" t="s">
        <v>18</v>
      </c>
      <c r="G9" s="233" t="s">
        <v>19</v>
      </c>
      <c r="H9" s="237" t="s">
        <v>88</v>
      </c>
      <c r="I9" s="236"/>
      <c r="J9" s="238">
        <v>31</v>
      </c>
      <c r="K9" s="238">
        <v>56</v>
      </c>
      <c r="L9" s="238">
        <v>54</v>
      </c>
      <c r="M9" s="238">
        <v>27</v>
      </c>
      <c r="N9" s="238">
        <v>13</v>
      </c>
      <c r="O9" s="236"/>
      <c r="P9" s="239">
        <f t="shared" si="0"/>
        <v>181</v>
      </c>
      <c r="Q9" s="237"/>
      <c r="R9" s="240">
        <v>46122</v>
      </c>
      <c r="S9" s="240">
        <v>46127</v>
      </c>
      <c r="T9" s="240">
        <v>46127</v>
      </c>
      <c r="U9" s="241" t="s">
        <v>373</v>
      </c>
      <c r="V9" s="241" t="s">
        <v>154</v>
      </c>
      <c r="W9" s="237" t="s">
        <v>97</v>
      </c>
      <c r="X9" s="242"/>
      <c r="Y9" s="233" t="s">
        <v>330</v>
      </c>
      <c r="Z9" s="233" t="s">
        <v>98</v>
      </c>
      <c r="AA9" s="233" t="s">
        <v>99</v>
      </c>
      <c r="AB9" s="243" t="s">
        <v>89</v>
      </c>
      <c r="AC9" s="233">
        <v>46000</v>
      </c>
    </row>
    <row r="10" spans="1:29" s="244" customFormat="1" ht="33.950000000000003" customHeight="1">
      <c r="A10" s="233" t="s">
        <v>16</v>
      </c>
      <c r="B10" s="234">
        <v>2512045</v>
      </c>
      <c r="C10" s="234">
        <v>70639</v>
      </c>
      <c r="D10" s="235" t="s">
        <v>56</v>
      </c>
      <c r="E10" s="234">
        <v>713952</v>
      </c>
      <c r="F10" s="236" t="s">
        <v>18</v>
      </c>
      <c r="G10" s="233" t="s">
        <v>19</v>
      </c>
      <c r="H10" s="237" t="s">
        <v>88</v>
      </c>
      <c r="I10" s="236"/>
      <c r="J10" s="238">
        <v>22</v>
      </c>
      <c r="K10" s="238">
        <v>29</v>
      </c>
      <c r="L10" s="238">
        <v>22</v>
      </c>
      <c r="M10" s="238">
        <v>9</v>
      </c>
      <c r="N10" s="238">
        <v>3</v>
      </c>
      <c r="O10" s="236"/>
      <c r="P10" s="239">
        <f t="shared" si="0"/>
        <v>85</v>
      </c>
      <c r="Q10" s="237"/>
      <c r="R10" s="240">
        <v>46152</v>
      </c>
      <c r="S10" s="240">
        <v>46157</v>
      </c>
      <c r="T10" s="240">
        <v>46157</v>
      </c>
      <c r="U10" s="241" t="s">
        <v>373</v>
      </c>
      <c r="V10" s="241" t="s">
        <v>155</v>
      </c>
      <c r="W10" s="237" t="s">
        <v>57</v>
      </c>
      <c r="X10" s="242"/>
      <c r="Y10" s="233" t="s">
        <v>330</v>
      </c>
      <c r="Z10" s="233" t="s">
        <v>48</v>
      </c>
      <c r="AA10" s="233" t="s">
        <v>58</v>
      </c>
      <c r="AB10" s="243" t="s">
        <v>89</v>
      </c>
      <c r="AC10" s="233">
        <v>46000</v>
      </c>
    </row>
    <row r="11" spans="1:29" s="244" customFormat="1" ht="33.950000000000003" customHeight="1">
      <c r="A11" s="233" t="s">
        <v>16</v>
      </c>
      <c r="B11" s="234">
        <v>2512045</v>
      </c>
      <c r="C11" s="234">
        <v>70639</v>
      </c>
      <c r="D11" s="235" t="s">
        <v>45</v>
      </c>
      <c r="E11" s="234">
        <v>713952</v>
      </c>
      <c r="F11" s="236" t="s">
        <v>18</v>
      </c>
      <c r="G11" s="233" t="s">
        <v>19</v>
      </c>
      <c r="H11" s="237" t="s">
        <v>88</v>
      </c>
      <c r="I11" s="236"/>
      <c r="J11" s="236"/>
      <c r="K11" s="236"/>
      <c r="L11" s="236"/>
      <c r="M11" s="236"/>
      <c r="N11" s="236"/>
      <c r="O11" s="239">
        <v>1</v>
      </c>
      <c r="P11" s="239">
        <f t="shared" si="0"/>
        <v>1</v>
      </c>
      <c r="Q11" s="237"/>
      <c r="R11" s="240">
        <v>46208</v>
      </c>
      <c r="S11" s="240">
        <v>46213</v>
      </c>
      <c r="T11" s="240">
        <v>46213</v>
      </c>
      <c r="U11" s="241" t="s">
        <v>373</v>
      </c>
      <c r="V11" s="241" t="s">
        <v>156</v>
      </c>
      <c r="W11" s="237" t="s">
        <v>46</v>
      </c>
      <c r="X11" s="242"/>
      <c r="Y11" s="233" t="s">
        <v>330</v>
      </c>
      <c r="Z11" s="233" t="s">
        <v>31</v>
      </c>
      <c r="AA11" s="233" t="s">
        <v>47</v>
      </c>
      <c r="AB11" s="243" t="s">
        <v>89</v>
      </c>
      <c r="AC11" s="233">
        <v>46000</v>
      </c>
    </row>
    <row r="12" spans="1:29" s="244" customFormat="1" ht="33.950000000000003" customHeight="1">
      <c r="A12" s="233" t="s">
        <v>16</v>
      </c>
      <c r="B12" s="234">
        <v>2512045</v>
      </c>
      <c r="C12" s="234">
        <v>70639</v>
      </c>
      <c r="D12" s="235" t="s">
        <v>45</v>
      </c>
      <c r="E12" s="234">
        <v>713952</v>
      </c>
      <c r="F12" s="236" t="s">
        <v>18</v>
      </c>
      <c r="G12" s="233" t="s">
        <v>19</v>
      </c>
      <c r="H12" s="237" t="s">
        <v>88</v>
      </c>
      <c r="I12" s="238">
        <v>4</v>
      </c>
      <c r="J12" s="238">
        <v>13</v>
      </c>
      <c r="K12" s="238">
        <v>39</v>
      </c>
      <c r="L12" s="238">
        <v>39</v>
      </c>
      <c r="M12" s="238">
        <v>26</v>
      </c>
      <c r="N12" s="238">
        <v>13</v>
      </c>
      <c r="O12" s="236"/>
      <c r="P12" s="239">
        <f t="shared" si="0"/>
        <v>134</v>
      </c>
      <c r="Q12" s="237"/>
      <c r="R12" s="240">
        <v>46208</v>
      </c>
      <c r="S12" s="240">
        <v>46213</v>
      </c>
      <c r="T12" s="240">
        <v>46213</v>
      </c>
      <c r="U12" s="241" t="s">
        <v>373</v>
      </c>
      <c r="V12" s="241" t="s">
        <v>156</v>
      </c>
      <c r="W12" s="237" t="s">
        <v>46</v>
      </c>
      <c r="X12" s="242"/>
      <c r="Y12" s="233" t="s">
        <v>330</v>
      </c>
      <c r="Z12" s="233" t="s">
        <v>31</v>
      </c>
      <c r="AA12" s="233" t="s">
        <v>47</v>
      </c>
      <c r="AB12" s="243" t="s">
        <v>89</v>
      </c>
      <c r="AC12" s="233">
        <v>46000</v>
      </c>
    </row>
    <row r="13" spans="1:29" s="244" customFormat="1" ht="33.950000000000003" customHeight="1">
      <c r="A13" s="233" t="s">
        <v>16</v>
      </c>
      <c r="B13" s="234">
        <v>2512045</v>
      </c>
      <c r="C13" s="234">
        <v>70639</v>
      </c>
      <c r="D13" s="235" t="s">
        <v>37</v>
      </c>
      <c r="E13" s="234">
        <v>713952</v>
      </c>
      <c r="F13" s="236" t="s">
        <v>18</v>
      </c>
      <c r="G13" s="233" t="s">
        <v>19</v>
      </c>
      <c r="H13" s="237" t="s">
        <v>88</v>
      </c>
      <c r="I13" s="238">
        <v>13</v>
      </c>
      <c r="J13" s="238">
        <v>171</v>
      </c>
      <c r="K13" s="238">
        <v>276</v>
      </c>
      <c r="L13" s="238">
        <v>260</v>
      </c>
      <c r="M13" s="238">
        <v>153</v>
      </c>
      <c r="N13" s="238">
        <v>27</v>
      </c>
      <c r="O13" s="236"/>
      <c r="P13" s="239">
        <f t="shared" si="0"/>
        <v>900</v>
      </c>
      <c r="Q13" s="237"/>
      <c r="R13" s="240">
        <v>46122</v>
      </c>
      <c r="S13" s="240">
        <v>46127</v>
      </c>
      <c r="T13" s="240">
        <v>46127</v>
      </c>
      <c r="U13" s="241" t="s">
        <v>373</v>
      </c>
      <c r="V13" s="241" t="s">
        <v>157</v>
      </c>
      <c r="W13" s="237" t="s">
        <v>38</v>
      </c>
      <c r="X13" s="242"/>
      <c r="Y13" s="233" t="s">
        <v>330</v>
      </c>
      <c r="Z13" s="233" t="s">
        <v>31</v>
      </c>
      <c r="AA13" s="233" t="s">
        <v>39</v>
      </c>
      <c r="AB13" s="243" t="s">
        <v>89</v>
      </c>
      <c r="AC13" s="233">
        <v>46000</v>
      </c>
    </row>
    <row r="14" spans="1:29" s="244" customFormat="1" ht="33.950000000000003" customHeight="1">
      <c r="A14" s="233" t="s">
        <v>16</v>
      </c>
      <c r="B14" s="234">
        <v>2512045</v>
      </c>
      <c r="C14" s="234">
        <v>70639</v>
      </c>
      <c r="D14" s="235" t="s">
        <v>14</v>
      </c>
      <c r="E14" s="234">
        <v>713952</v>
      </c>
      <c r="F14" s="236" t="s">
        <v>18</v>
      </c>
      <c r="G14" s="233" t="s">
        <v>19</v>
      </c>
      <c r="H14" s="237" t="s">
        <v>88</v>
      </c>
      <c r="I14" s="236"/>
      <c r="J14" s="238">
        <v>11</v>
      </c>
      <c r="K14" s="236"/>
      <c r="L14" s="238">
        <v>8</v>
      </c>
      <c r="M14" s="238">
        <v>20</v>
      </c>
      <c r="N14" s="238">
        <v>12</v>
      </c>
      <c r="O14" s="236"/>
      <c r="P14" s="239">
        <f t="shared" si="0"/>
        <v>51</v>
      </c>
      <c r="Q14" s="237"/>
      <c r="R14" s="240">
        <v>46122</v>
      </c>
      <c r="S14" s="240">
        <v>46127</v>
      </c>
      <c r="T14" s="240">
        <v>46127</v>
      </c>
      <c r="U14" s="241" t="s">
        <v>373</v>
      </c>
      <c r="V14" s="241" t="s">
        <v>158</v>
      </c>
      <c r="W14" s="237" t="s">
        <v>33</v>
      </c>
      <c r="X14" s="242"/>
      <c r="Y14" s="233" t="s">
        <v>330</v>
      </c>
      <c r="Z14" s="233" t="s">
        <v>36</v>
      </c>
      <c r="AA14" s="233" t="s">
        <v>15</v>
      </c>
      <c r="AB14" s="243" t="s">
        <v>89</v>
      </c>
      <c r="AC14" s="233">
        <v>46000</v>
      </c>
    </row>
    <row r="15" spans="1:29" s="244" customFormat="1" ht="33.950000000000003" customHeight="1">
      <c r="A15" s="233" t="s">
        <v>16</v>
      </c>
      <c r="B15" s="234">
        <v>2512045</v>
      </c>
      <c r="C15" s="234">
        <v>70639</v>
      </c>
      <c r="D15" s="235" t="s">
        <v>14</v>
      </c>
      <c r="E15" s="234">
        <v>713952</v>
      </c>
      <c r="F15" s="236" t="s">
        <v>18</v>
      </c>
      <c r="G15" s="233" t="s">
        <v>19</v>
      </c>
      <c r="H15" s="237" t="s">
        <v>88</v>
      </c>
      <c r="I15" s="236"/>
      <c r="J15" s="238">
        <v>31</v>
      </c>
      <c r="K15" s="238">
        <v>60</v>
      </c>
      <c r="L15" s="238">
        <v>60</v>
      </c>
      <c r="M15" s="238">
        <v>29</v>
      </c>
      <c r="N15" s="238">
        <v>14</v>
      </c>
      <c r="O15" s="236"/>
      <c r="P15" s="239">
        <f t="shared" si="0"/>
        <v>194</v>
      </c>
      <c r="Q15" s="237"/>
      <c r="R15" s="240">
        <v>46122</v>
      </c>
      <c r="S15" s="240">
        <v>46127</v>
      </c>
      <c r="T15" s="240">
        <v>46127</v>
      </c>
      <c r="U15" s="241" t="s">
        <v>373</v>
      </c>
      <c r="V15" s="241" t="s">
        <v>159</v>
      </c>
      <c r="W15" s="237" t="s">
        <v>33</v>
      </c>
      <c r="X15" s="242" t="s">
        <v>34</v>
      </c>
      <c r="Y15" s="233" t="s">
        <v>330</v>
      </c>
      <c r="Z15" s="233" t="s">
        <v>35</v>
      </c>
      <c r="AA15" s="233" t="s">
        <v>15</v>
      </c>
      <c r="AB15" s="243" t="s">
        <v>89</v>
      </c>
      <c r="AC15" s="233">
        <v>46000</v>
      </c>
    </row>
    <row r="16" spans="1:29" s="244" customFormat="1" ht="33.950000000000003" customHeight="1">
      <c r="A16" s="233" t="s">
        <v>16</v>
      </c>
      <c r="B16" s="234">
        <v>2512045</v>
      </c>
      <c r="C16" s="234">
        <v>70639</v>
      </c>
      <c r="D16" s="235" t="s">
        <v>17</v>
      </c>
      <c r="E16" s="234">
        <v>713952</v>
      </c>
      <c r="F16" s="236" t="s">
        <v>18</v>
      </c>
      <c r="G16" s="233" t="s">
        <v>19</v>
      </c>
      <c r="H16" s="237" t="s">
        <v>88</v>
      </c>
      <c r="I16" s="236"/>
      <c r="J16" s="238">
        <v>160</v>
      </c>
      <c r="K16" s="238">
        <v>240</v>
      </c>
      <c r="L16" s="238">
        <v>160</v>
      </c>
      <c r="M16" s="238">
        <v>80</v>
      </c>
      <c r="N16" s="238">
        <v>80</v>
      </c>
      <c r="O16" s="236"/>
      <c r="P16" s="239">
        <f t="shared" si="0"/>
        <v>720</v>
      </c>
      <c r="Q16" s="237"/>
      <c r="R16" s="240">
        <v>46122</v>
      </c>
      <c r="S16" s="240">
        <v>46127</v>
      </c>
      <c r="T16" s="240">
        <v>46127</v>
      </c>
      <c r="U16" s="241" t="s">
        <v>373</v>
      </c>
      <c r="V16" s="241" t="s">
        <v>160</v>
      </c>
      <c r="W16" s="237" t="s">
        <v>20</v>
      </c>
      <c r="X16" s="242" t="s">
        <v>20</v>
      </c>
      <c r="Y16" s="233" t="s">
        <v>330</v>
      </c>
      <c r="Z16" s="233" t="s">
        <v>21</v>
      </c>
      <c r="AA16" s="233" t="s">
        <v>22</v>
      </c>
      <c r="AB16" s="243" t="s">
        <v>89</v>
      </c>
      <c r="AC16" s="233">
        <v>46000</v>
      </c>
    </row>
    <row r="17" spans="1:30" s="244" customFormat="1" ht="33.950000000000003" customHeight="1">
      <c r="A17" s="233" t="s">
        <v>16</v>
      </c>
      <c r="B17" s="234">
        <v>2512045</v>
      </c>
      <c r="C17" s="234">
        <v>70639</v>
      </c>
      <c r="D17" s="235" t="s">
        <v>41</v>
      </c>
      <c r="E17" s="234">
        <v>713952</v>
      </c>
      <c r="F17" s="236" t="s">
        <v>18</v>
      </c>
      <c r="G17" s="233" t="s">
        <v>19</v>
      </c>
      <c r="H17" s="237" t="s">
        <v>88</v>
      </c>
      <c r="I17" s="238">
        <v>6</v>
      </c>
      <c r="J17" s="238">
        <v>37</v>
      </c>
      <c r="K17" s="238">
        <v>47</v>
      </c>
      <c r="L17" s="238">
        <v>41</v>
      </c>
      <c r="M17" s="238">
        <v>23</v>
      </c>
      <c r="N17" s="238">
        <v>8</v>
      </c>
      <c r="O17" s="236"/>
      <c r="P17" s="239">
        <f t="shared" si="0"/>
        <v>162</v>
      </c>
      <c r="Q17" s="237"/>
      <c r="R17" s="240">
        <v>46167</v>
      </c>
      <c r="S17" s="240">
        <v>46172</v>
      </c>
      <c r="T17" s="240">
        <v>46172</v>
      </c>
      <c r="U17" s="241" t="s">
        <v>373</v>
      </c>
      <c r="V17" s="241" t="s">
        <v>161</v>
      </c>
      <c r="W17" s="237" t="s">
        <v>42</v>
      </c>
      <c r="X17" s="242" t="s">
        <v>42</v>
      </c>
      <c r="Y17" s="233" t="s">
        <v>330</v>
      </c>
      <c r="Z17" s="233" t="s">
        <v>43</v>
      </c>
      <c r="AA17" s="233" t="s">
        <v>44</v>
      </c>
      <c r="AB17" s="243" t="s">
        <v>89</v>
      </c>
      <c r="AC17" s="233">
        <v>46000</v>
      </c>
    </row>
    <row r="18" spans="1:30" s="244" customFormat="1" ht="33.950000000000003" customHeight="1">
      <c r="A18" s="233" t="s">
        <v>16</v>
      </c>
      <c r="B18" s="234">
        <v>2512045</v>
      </c>
      <c r="C18" s="234">
        <v>70639</v>
      </c>
      <c r="D18" s="235" t="s">
        <v>67</v>
      </c>
      <c r="E18" s="234">
        <v>713952</v>
      </c>
      <c r="F18" s="236" t="s">
        <v>18</v>
      </c>
      <c r="G18" s="233" t="s">
        <v>19</v>
      </c>
      <c r="H18" s="237" t="s">
        <v>88</v>
      </c>
      <c r="I18" s="236"/>
      <c r="J18" s="238">
        <v>10</v>
      </c>
      <c r="K18" s="238">
        <v>12</v>
      </c>
      <c r="L18" s="238">
        <v>12</v>
      </c>
      <c r="M18" s="238">
        <v>10</v>
      </c>
      <c r="N18" s="238">
        <v>6</v>
      </c>
      <c r="O18" s="236"/>
      <c r="P18" s="239">
        <f t="shared" si="0"/>
        <v>50</v>
      </c>
      <c r="Q18" s="237"/>
      <c r="R18" s="240">
        <v>46122</v>
      </c>
      <c r="S18" s="240">
        <v>46127</v>
      </c>
      <c r="T18" s="240">
        <v>46127</v>
      </c>
      <c r="U18" s="241" t="s">
        <v>373</v>
      </c>
      <c r="V18" s="241" t="s">
        <v>162</v>
      </c>
      <c r="W18" s="237" t="s">
        <v>68</v>
      </c>
      <c r="X18" s="242" t="s">
        <v>68</v>
      </c>
      <c r="Y18" s="233" t="s">
        <v>330</v>
      </c>
      <c r="Z18" s="233" t="s">
        <v>26</v>
      </c>
      <c r="AA18" s="233" t="s">
        <v>69</v>
      </c>
      <c r="AB18" s="243" t="s">
        <v>89</v>
      </c>
      <c r="AC18" s="233">
        <v>46000</v>
      </c>
    </row>
    <row r="19" spans="1:30" s="244" customFormat="1" ht="33.950000000000003" customHeight="1">
      <c r="A19" s="233" t="s">
        <v>16</v>
      </c>
      <c r="B19" s="234">
        <v>2512045</v>
      </c>
      <c r="C19" s="234">
        <v>70639</v>
      </c>
      <c r="D19" s="235" t="s">
        <v>149</v>
      </c>
      <c r="E19" s="234">
        <v>713952</v>
      </c>
      <c r="F19" s="236" t="s">
        <v>18</v>
      </c>
      <c r="G19" s="233" t="s">
        <v>19</v>
      </c>
      <c r="H19" s="237" t="s">
        <v>88</v>
      </c>
      <c r="I19" s="236"/>
      <c r="J19" s="238">
        <v>18</v>
      </c>
      <c r="K19" s="238">
        <v>36</v>
      </c>
      <c r="L19" s="238">
        <v>27</v>
      </c>
      <c r="M19" s="238">
        <v>9</v>
      </c>
      <c r="N19" s="236"/>
      <c r="O19" s="236"/>
      <c r="P19" s="239">
        <f t="shared" si="0"/>
        <v>90</v>
      </c>
      <c r="Q19" s="237"/>
      <c r="R19" s="240">
        <v>46137</v>
      </c>
      <c r="S19" s="240">
        <v>46142</v>
      </c>
      <c r="T19" s="240">
        <v>46142</v>
      </c>
      <c r="U19" s="241" t="s">
        <v>373</v>
      </c>
      <c r="V19" s="241" t="s">
        <v>163</v>
      </c>
      <c r="W19" s="237" t="s">
        <v>151</v>
      </c>
      <c r="X19" s="242" t="s">
        <v>151</v>
      </c>
      <c r="Y19" s="233" t="s">
        <v>330</v>
      </c>
      <c r="Z19" s="233" t="s">
        <v>26</v>
      </c>
      <c r="AA19" s="233" t="s">
        <v>152</v>
      </c>
      <c r="AB19" s="243" t="s">
        <v>89</v>
      </c>
      <c r="AC19" s="233">
        <v>46000</v>
      </c>
    </row>
    <row r="20" spans="1:30" s="244" customFormat="1" ht="33.950000000000003" customHeight="1">
      <c r="A20" s="233" t="s">
        <v>16</v>
      </c>
      <c r="B20" s="234">
        <v>2512045</v>
      </c>
      <c r="C20" s="234">
        <v>70639</v>
      </c>
      <c r="D20" s="235" t="s">
        <v>49</v>
      </c>
      <c r="E20" s="234">
        <v>713952</v>
      </c>
      <c r="F20" s="236" t="s">
        <v>18</v>
      </c>
      <c r="G20" s="233" t="s">
        <v>19</v>
      </c>
      <c r="H20" s="237" t="s">
        <v>88</v>
      </c>
      <c r="I20" s="238">
        <v>5</v>
      </c>
      <c r="J20" s="238">
        <v>20</v>
      </c>
      <c r="K20" s="238">
        <v>39</v>
      </c>
      <c r="L20" s="238">
        <v>36</v>
      </c>
      <c r="M20" s="238">
        <v>19</v>
      </c>
      <c r="N20" s="238">
        <v>8</v>
      </c>
      <c r="O20" s="236"/>
      <c r="P20" s="239">
        <f t="shared" si="0"/>
        <v>127</v>
      </c>
      <c r="Q20" s="237"/>
      <c r="R20" s="240">
        <v>46127</v>
      </c>
      <c r="S20" s="240">
        <v>46132</v>
      </c>
      <c r="T20" s="240">
        <v>46132</v>
      </c>
      <c r="U20" s="241" t="s">
        <v>373</v>
      </c>
      <c r="V20" s="241" t="s">
        <v>164</v>
      </c>
      <c r="W20" s="237" t="s">
        <v>50</v>
      </c>
      <c r="X20" s="242" t="s">
        <v>111</v>
      </c>
      <c r="Y20" s="233" t="s">
        <v>330</v>
      </c>
      <c r="Z20" s="233" t="s">
        <v>31</v>
      </c>
      <c r="AA20" s="233" t="s">
        <v>51</v>
      </c>
      <c r="AB20" s="243" t="s">
        <v>89</v>
      </c>
      <c r="AC20" s="233">
        <v>46000</v>
      </c>
    </row>
    <row r="21" spans="1:30" s="244" customFormat="1" ht="33.950000000000003" customHeight="1">
      <c r="A21" s="233" t="s">
        <v>16</v>
      </c>
      <c r="B21" s="234">
        <v>2512045</v>
      </c>
      <c r="C21" s="234">
        <v>70639</v>
      </c>
      <c r="D21" s="235" t="s">
        <v>29</v>
      </c>
      <c r="E21" s="234">
        <v>713952</v>
      </c>
      <c r="F21" s="236" t="s">
        <v>18</v>
      </c>
      <c r="G21" s="233" t="s">
        <v>19</v>
      </c>
      <c r="H21" s="237" t="s">
        <v>88</v>
      </c>
      <c r="I21" s="238">
        <v>3</v>
      </c>
      <c r="J21" s="238">
        <v>7</v>
      </c>
      <c r="K21" s="238">
        <v>15</v>
      </c>
      <c r="L21" s="238">
        <v>15</v>
      </c>
      <c r="M21" s="238">
        <v>8</v>
      </c>
      <c r="N21" s="238">
        <v>2</v>
      </c>
      <c r="O21" s="236"/>
      <c r="P21" s="239">
        <f t="shared" si="0"/>
        <v>50</v>
      </c>
      <c r="Q21" s="237"/>
      <c r="R21" s="240">
        <v>46142</v>
      </c>
      <c r="S21" s="240">
        <v>46147</v>
      </c>
      <c r="T21" s="240">
        <v>46147</v>
      </c>
      <c r="U21" s="241" t="s">
        <v>373</v>
      </c>
      <c r="V21" s="241" t="s">
        <v>165</v>
      </c>
      <c r="W21" s="237" t="s">
        <v>30</v>
      </c>
      <c r="X21" s="242" t="s">
        <v>30</v>
      </c>
      <c r="Y21" s="233" t="s">
        <v>330</v>
      </c>
      <c r="Z21" s="233" t="s">
        <v>31</v>
      </c>
      <c r="AA21" s="233" t="s">
        <v>32</v>
      </c>
      <c r="AB21" s="243" t="s">
        <v>89</v>
      </c>
      <c r="AC21" s="233">
        <v>46000</v>
      </c>
    </row>
    <row r="22" spans="1:30" s="244" customFormat="1" ht="33.950000000000003" customHeight="1">
      <c r="A22" s="233" t="s">
        <v>16</v>
      </c>
      <c r="B22" s="234">
        <v>2512045</v>
      </c>
      <c r="C22" s="234">
        <v>70639</v>
      </c>
      <c r="D22" s="235" t="s">
        <v>14</v>
      </c>
      <c r="E22" s="234">
        <v>713952</v>
      </c>
      <c r="F22" s="236" t="s">
        <v>18</v>
      </c>
      <c r="G22" s="233" t="s">
        <v>19</v>
      </c>
      <c r="H22" s="237" t="s">
        <v>88</v>
      </c>
      <c r="I22" s="236"/>
      <c r="J22" s="238">
        <v>63</v>
      </c>
      <c r="K22" s="238">
        <v>122</v>
      </c>
      <c r="L22" s="238">
        <v>122</v>
      </c>
      <c r="M22" s="238">
        <v>59</v>
      </c>
      <c r="N22" s="238">
        <v>27</v>
      </c>
      <c r="O22" s="236"/>
      <c r="P22" s="239">
        <f t="shared" si="0"/>
        <v>393</v>
      </c>
      <c r="Q22" s="237"/>
      <c r="R22" s="240">
        <v>46122</v>
      </c>
      <c r="S22" s="240">
        <v>46127</v>
      </c>
      <c r="T22" s="240">
        <v>46127</v>
      </c>
      <c r="U22" s="241" t="s">
        <v>373</v>
      </c>
      <c r="V22" s="241" t="s">
        <v>166</v>
      </c>
      <c r="W22" s="237" t="s">
        <v>33</v>
      </c>
      <c r="X22" s="242" t="s">
        <v>34</v>
      </c>
      <c r="Y22" s="233" t="s">
        <v>330</v>
      </c>
      <c r="Z22" s="233" t="s">
        <v>35</v>
      </c>
      <c r="AA22" s="233" t="s">
        <v>15</v>
      </c>
      <c r="AB22" s="243" t="s">
        <v>89</v>
      </c>
      <c r="AC22" s="233">
        <v>46000</v>
      </c>
    </row>
    <row r="23" spans="1:30" s="244" customFormat="1" ht="33.950000000000003" customHeight="1">
      <c r="A23" s="233" t="s">
        <v>16</v>
      </c>
      <c r="B23" s="234">
        <v>2512045</v>
      </c>
      <c r="C23" s="234">
        <v>70639</v>
      </c>
      <c r="D23" s="235" t="s">
        <v>17</v>
      </c>
      <c r="E23" s="234">
        <v>713952</v>
      </c>
      <c r="F23" s="236" t="s">
        <v>18</v>
      </c>
      <c r="G23" s="233" t="s">
        <v>19</v>
      </c>
      <c r="H23" s="237" t="s">
        <v>88</v>
      </c>
      <c r="I23" s="236"/>
      <c r="J23" s="238">
        <v>328</v>
      </c>
      <c r="K23" s="238">
        <v>492</v>
      </c>
      <c r="L23" s="238">
        <v>328</v>
      </c>
      <c r="M23" s="238">
        <v>164</v>
      </c>
      <c r="N23" s="236"/>
      <c r="O23" s="236"/>
      <c r="P23" s="239">
        <f t="shared" si="0"/>
        <v>1312</v>
      </c>
      <c r="Q23" s="237"/>
      <c r="R23" s="240">
        <v>46122</v>
      </c>
      <c r="S23" s="240">
        <v>46127</v>
      </c>
      <c r="T23" s="240">
        <v>46127</v>
      </c>
      <c r="U23" s="241" t="s">
        <v>373</v>
      </c>
      <c r="V23" s="241" t="s">
        <v>167</v>
      </c>
      <c r="W23" s="237" t="s">
        <v>20</v>
      </c>
      <c r="X23" s="242" t="s">
        <v>20</v>
      </c>
      <c r="Y23" s="233" t="s">
        <v>330</v>
      </c>
      <c r="Z23" s="233" t="s">
        <v>21</v>
      </c>
      <c r="AA23" s="233" t="s">
        <v>22</v>
      </c>
      <c r="AB23" s="243" t="s">
        <v>89</v>
      </c>
      <c r="AC23" s="233">
        <v>46000</v>
      </c>
    </row>
    <row r="24" spans="1:30" s="247" customFormat="1" ht="48" customHeight="1">
      <c r="A24" s="43" t="s">
        <v>16</v>
      </c>
      <c r="B24" s="44">
        <v>2512045</v>
      </c>
      <c r="C24" s="44">
        <v>70639</v>
      </c>
      <c r="D24" s="46" t="s">
        <v>124</v>
      </c>
      <c r="E24" s="44">
        <v>713952</v>
      </c>
      <c r="F24" s="131" t="s">
        <v>18</v>
      </c>
      <c r="G24" s="43" t="s">
        <v>19</v>
      </c>
      <c r="H24" s="45" t="s">
        <v>88</v>
      </c>
      <c r="I24" s="131"/>
      <c r="J24" s="245">
        <v>16</v>
      </c>
      <c r="K24" s="245">
        <v>18</v>
      </c>
      <c r="L24" s="245">
        <v>13</v>
      </c>
      <c r="M24" s="245">
        <v>7</v>
      </c>
      <c r="N24" s="131"/>
      <c r="O24" s="131"/>
      <c r="P24" s="77">
        <f t="shared" si="0"/>
        <v>54</v>
      </c>
      <c r="Q24" s="45"/>
      <c r="R24" s="99">
        <v>46136</v>
      </c>
      <c r="S24" s="123" t="s">
        <v>431</v>
      </c>
      <c r="T24" s="99">
        <v>46141</v>
      </c>
      <c r="U24" s="48" t="s">
        <v>373</v>
      </c>
      <c r="V24" s="48" t="s">
        <v>168</v>
      </c>
      <c r="W24" s="45" t="s">
        <v>28</v>
      </c>
      <c r="X24" s="49" t="s">
        <v>128</v>
      </c>
      <c r="Y24" s="43" t="s">
        <v>330</v>
      </c>
      <c r="Z24" s="43" t="s">
        <v>129</v>
      </c>
      <c r="AA24" s="43" t="s">
        <v>130</v>
      </c>
      <c r="AB24" s="246" t="s">
        <v>89</v>
      </c>
      <c r="AC24" s="43">
        <v>46000</v>
      </c>
      <c r="AD24" s="247" t="s">
        <v>395</v>
      </c>
    </row>
    <row r="25" spans="1:30" s="244" customFormat="1" ht="33.950000000000003" customHeight="1">
      <c r="A25" s="233" t="s">
        <v>16</v>
      </c>
      <c r="B25" s="234">
        <v>2512045</v>
      </c>
      <c r="C25" s="234">
        <v>70639</v>
      </c>
      <c r="D25" s="235" t="s">
        <v>59</v>
      </c>
      <c r="E25" s="234">
        <v>713952</v>
      </c>
      <c r="F25" s="236" t="s">
        <v>18</v>
      </c>
      <c r="G25" s="233" t="s">
        <v>19</v>
      </c>
      <c r="H25" s="237" t="s">
        <v>88</v>
      </c>
      <c r="I25" s="238">
        <v>11</v>
      </c>
      <c r="J25" s="238">
        <v>16</v>
      </c>
      <c r="K25" s="238">
        <v>12</v>
      </c>
      <c r="L25" s="238">
        <v>8</v>
      </c>
      <c r="M25" s="238">
        <v>3</v>
      </c>
      <c r="N25" s="236"/>
      <c r="O25" s="236"/>
      <c r="P25" s="239">
        <f t="shared" si="0"/>
        <v>50</v>
      </c>
      <c r="Q25" s="237"/>
      <c r="R25" s="240">
        <v>46122</v>
      </c>
      <c r="S25" s="240">
        <v>46127</v>
      </c>
      <c r="T25" s="240">
        <v>46127</v>
      </c>
      <c r="U25" s="241" t="s">
        <v>373</v>
      </c>
      <c r="V25" s="241" t="s">
        <v>169</v>
      </c>
      <c r="W25" s="237" t="s">
        <v>60</v>
      </c>
      <c r="X25" s="242" t="s">
        <v>60</v>
      </c>
      <c r="Y25" s="233" t="s">
        <v>330</v>
      </c>
      <c r="Z25" s="233" t="s">
        <v>61</v>
      </c>
      <c r="AA25" s="233" t="s">
        <v>62</v>
      </c>
      <c r="AB25" s="243" t="s">
        <v>89</v>
      </c>
      <c r="AC25" s="233">
        <v>46000</v>
      </c>
    </row>
    <row r="26" spans="1:30" s="244" customFormat="1" ht="33.950000000000003" customHeight="1">
      <c r="A26" s="233" t="s">
        <v>16</v>
      </c>
      <c r="B26" s="234">
        <v>2512045</v>
      </c>
      <c r="C26" s="234">
        <v>70639</v>
      </c>
      <c r="D26" s="235" t="s">
        <v>49</v>
      </c>
      <c r="E26" s="234">
        <v>713952</v>
      </c>
      <c r="F26" s="236" t="s">
        <v>18</v>
      </c>
      <c r="G26" s="233" t="s">
        <v>19</v>
      </c>
      <c r="H26" s="237" t="s">
        <v>88</v>
      </c>
      <c r="I26" s="236"/>
      <c r="J26" s="236"/>
      <c r="K26" s="236"/>
      <c r="L26" s="236"/>
      <c r="M26" s="236"/>
      <c r="N26" s="236"/>
      <c r="O26" s="238">
        <v>5</v>
      </c>
      <c r="P26" s="239">
        <f t="shared" si="0"/>
        <v>5</v>
      </c>
      <c r="Q26" s="237"/>
      <c r="R26" s="240">
        <v>46127</v>
      </c>
      <c r="S26" s="240">
        <v>46132</v>
      </c>
      <c r="T26" s="240">
        <v>46132</v>
      </c>
      <c r="U26" s="241" t="s">
        <v>373</v>
      </c>
      <c r="V26" s="241" t="s">
        <v>170</v>
      </c>
      <c r="W26" s="237" t="s">
        <v>50</v>
      </c>
      <c r="X26" s="242" t="s">
        <v>50</v>
      </c>
      <c r="Y26" s="233" t="s">
        <v>330</v>
      </c>
      <c r="Z26" s="233" t="s">
        <v>31</v>
      </c>
      <c r="AA26" s="233" t="s">
        <v>51</v>
      </c>
      <c r="AB26" s="243" t="s">
        <v>89</v>
      </c>
      <c r="AC26" s="233">
        <v>46000</v>
      </c>
    </row>
    <row r="27" spans="1:30" s="244" customFormat="1" ht="33.950000000000003" customHeight="1">
      <c r="A27" s="233" t="s">
        <v>16</v>
      </c>
      <c r="B27" s="234">
        <v>2512045</v>
      </c>
      <c r="C27" s="234">
        <v>70639</v>
      </c>
      <c r="D27" s="235" t="s">
        <v>49</v>
      </c>
      <c r="E27" s="234">
        <v>713952</v>
      </c>
      <c r="F27" s="236" t="s">
        <v>18</v>
      </c>
      <c r="G27" s="233" t="s">
        <v>19</v>
      </c>
      <c r="H27" s="237" t="s">
        <v>88</v>
      </c>
      <c r="I27" s="238">
        <v>12</v>
      </c>
      <c r="J27" s="238">
        <v>19</v>
      </c>
      <c r="K27" s="238">
        <v>29</v>
      </c>
      <c r="L27" s="238">
        <v>30</v>
      </c>
      <c r="M27" s="238">
        <v>24</v>
      </c>
      <c r="N27" s="238">
        <v>12</v>
      </c>
      <c r="O27" s="236"/>
      <c r="P27" s="239">
        <f t="shared" si="0"/>
        <v>126</v>
      </c>
      <c r="Q27" s="237"/>
      <c r="R27" s="240">
        <v>46127</v>
      </c>
      <c r="S27" s="240">
        <v>46132</v>
      </c>
      <c r="T27" s="240">
        <v>46132</v>
      </c>
      <c r="U27" s="241" t="s">
        <v>373</v>
      </c>
      <c r="V27" s="241" t="s">
        <v>170</v>
      </c>
      <c r="W27" s="237" t="s">
        <v>50</v>
      </c>
      <c r="X27" s="242" t="s">
        <v>50</v>
      </c>
      <c r="Y27" s="233" t="s">
        <v>330</v>
      </c>
      <c r="Z27" s="233" t="s">
        <v>31</v>
      </c>
      <c r="AA27" s="233" t="s">
        <v>51</v>
      </c>
      <c r="AB27" s="243" t="s">
        <v>89</v>
      </c>
      <c r="AC27" s="233">
        <v>46000</v>
      </c>
    </row>
    <row r="28" spans="1:30" s="244" customFormat="1" ht="33.950000000000003" customHeight="1">
      <c r="A28" s="233" t="s">
        <v>16</v>
      </c>
      <c r="B28" s="234">
        <v>2512045</v>
      </c>
      <c r="C28" s="234">
        <v>70639</v>
      </c>
      <c r="D28" s="235" t="s">
        <v>17</v>
      </c>
      <c r="E28" s="234">
        <v>713952</v>
      </c>
      <c r="F28" s="236" t="s">
        <v>18</v>
      </c>
      <c r="G28" s="233" t="s">
        <v>19</v>
      </c>
      <c r="H28" s="237" t="s">
        <v>88</v>
      </c>
      <c r="I28" s="236"/>
      <c r="J28" s="238">
        <v>40</v>
      </c>
      <c r="K28" s="238">
        <v>80</v>
      </c>
      <c r="L28" s="238">
        <v>80</v>
      </c>
      <c r="M28" s="238">
        <v>40</v>
      </c>
      <c r="N28" s="236"/>
      <c r="O28" s="236"/>
      <c r="P28" s="239">
        <f t="shared" si="0"/>
        <v>240</v>
      </c>
      <c r="Q28" s="237"/>
      <c r="R28" s="240">
        <v>46152</v>
      </c>
      <c r="S28" s="240">
        <v>46157</v>
      </c>
      <c r="T28" s="240">
        <v>46157</v>
      </c>
      <c r="U28" s="241" t="s">
        <v>373</v>
      </c>
      <c r="V28" s="241" t="s">
        <v>171</v>
      </c>
      <c r="W28" s="237" t="s">
        <v>20</v>
      </c>
      <c r="X28" s="242" t="s">
        <v>20</v>
      </c>
      <c r="Y28" s="233" t="s">
        <v>330</v>
      </c>
      <c r="Z28" s="233" t="s">
        <v>21</v>
      </c>
      <c r="AA28" s="233" t="s">
        <v>22</v>
      </c>
      <c r="AB28" s="243" t="s">
        <v>89</v>
      </c>
      <c r="AC28" s="233">
        <v>46000</v>
      </c>
    </row>
    <row r="29" spans="1:30" s="244" customFormat="1" ht="33.950000000000003" customHeight="1">
      <c r="A29" s="233" t="s">
        <v>16</v>
      </c>
      <c r="B29" s="234">
        <v>2512045</v>
      </c>
      <c r="C29" s="234">
        <v>70639</v>
      </c>
      <c r="D29" s="235" t="s">
        <v>23</v>
      </c>
      <c r="E29" s="234">
        <v>713952</v>
      </c>
      <c r="F29" s="236" t="s">
        <v>18</v>
      </c>
      <c r="G29" s="233" t="s">
        <v>19</v>
      </c>
      <c r="H29" s="237" t="s">
        <v>88</v>
      </c>
      <c r="I29" s="236"/>
      <c r="J29" s="238">
        <v>16</v>
      </c>
      <c r="K29" s="238">
        <v>19</v>
      </c>
      <c r="L29" s="238">
        <v>18</v>
      </c>
      <c r="M29" s="238">
        <v>15</v>
      </c>
      <c r="N29" s="238">
        <v>11</v>
      </c>
      <c r="O29" s="236"/>
      <c r="P29" s="239">
        <f t="shared" si="0"/>
        <v>79</v>
      </c>
      <c r="Q29" s="237"/>
      <c r="R29" s="240">
        <v>46122</v>
      </c>
      <c r="S29" s="240">
        <v>46127</v>
      </c>
      <c r="T29" s="240">
        <v>46127</v>
      </c>
      <c r="U29" s="241" t="s">
        <v>373</v>
      </c>
      <c r="V29" s="241" t="s">
        <v>172</v>
      </c>
      <c r="W29" s="237" t="s">
        <v>24</v>
      </c>
      <c r="X29" s="242" t="s">
        <v>25</v>
      </c>
      <c r="Y29" s="233" t="s">
        <v>330</v>
      </c>
      <c r="Z29" s="233" t="s">
        <v>26</v>
      </c>
      <c r="AA29" s="233" t="s">
        <v>27</v>
      </c>
      <c r="AB29" s="243" t="s">
        <v>89</v>
      </c>
      <c r="AC29" s="233">
        <v>46000</v>
      </c>
    </row>
    <row r="30" spans="1:30" s="244" customFormat="1" ht="33.950000000000003" customHeight="1">
      <c r="A30" s="233" t="s">
        <v>16</v>
      </c>
      <c r="B30" s="234">
        <v>2512045</v>
      </c>
      <c r="C30" s="234">
        <v>70639</v>
      </c>
      <c r="D30" s="235" t="s">
        <v>70</v>
      </c>
      <c r="E30" s="234">
        <v>713952</v>
      </c>
      <c r="F30" s="236" t="s">
        <v>18</v>
      </c>
      <c r="G30" s="233" t="s">
        <v>19</v>
      </c>
      <c r="H30" s="237" t="s">
        <v>88</v>
      </c>
      <c r="I30" s="236"/>
      <c r="J30" s="238">
        <v>45</v>
      </c>
      <c r="K30" s="238">
        <v>90</v>
      </c>
      <c r="L30" s="238">
        <v>90</v>
      </c>
      <c r="M30" s="238">
        <v>45</v>
      </c>
      <c r="N30" s="236"/>
      <c r="O30" s="236"/>
      <c r="P30" s="239">
        <f t="shared" si="0"/>
        <v>270</v>
      </c>
      <c r="Q30" s="237"/>
      <c r="R30" s="240">
        <v>46213</v>
      </c>
      <c r="S30" s="240">
        <v>46218</v>
      </c>
      <c r="T30" s="240">
        <v>46218</v>
      </c>
      <c r="U30" s="241" t="s">
        <v>373</v>
      </c>
      <c r="V30" s="241" t="s">
        <v>173</v>
      </c>
      <c r="W30" s="237" t="s">
        <v>28</v>
      </c>
      <c r="X30" s="242" t="s">
        <v>71</v>
      </c>
      <c r="Y30" s="233" t="s">
        <v>330</v>
      </c>
      <c r="Z30" s="233" t="s">
        <v>72</v>
      </c>
      <c r="AA30" s="233" t="s">
        <v>73</v>
      </c>
      <c r="AB30" s="243" t="s">
        <v>89</v>
      </c>
      <c r="AC30" s="233">
        <v>46000</v>
      </c>
    </row>
    <row r="31" spans="1:30" s="244" customFormat="1" ht="33.950000000000003" customHeight="1">
      <c r="A31" s="233" t="s">
        <v>16</v>
      </c>
      <c r="B31" s="234">
        <v>2512045</v>
      </c>
      <c r="C31" s="234">
        <v>70639</v>
      </c>
      <c r="D31" s="235"/>
      <c r="E31" s="234">
        <v>713952</v>
      </c>
      <c r="F31" s="236" t="s">
        <v>18</v>
      </c>
      <c r="G31" s="233" t="s">
        <v>19</v>
      </c>
      <c r="H31" s="237" t="s">
        <v>88</v>
      </c>
      <c r="I31" s="238">
        <v>6</v>
      </c>
      <c r="J31" s="238">
        <v>31</v>
      </c>
      <c r="K31" s="238">
        <v>38</v>
      </c>
      <c r="L31" s="238">
        <v>34</v>
      </c>
      <c r="M31" s="238">
        <v>18</v>
      </c>
      <c r="N31" s="238">
        <v>6</v>
      </c>
      <c r="O31" s="236"/>
      <c r="P31" s="239">
        <f t="shared" si="0"/>
        <v>133</v>
      </c>
      <c r="Q31" s="237"/>
      <c r="R31" s="240">
        <v>46162</v>
      </c>
      <c r="S31" s="240">
        <v>46167</v>
      </c>
      <c r="T31" s="240">
        <v>46167</v>
      </c>
      <c r="U31" s="241" t="s">
        <v>373</v>
      </c>
      <c r="V31" s="241" t="s">
        <v>174</v>
      </c>
      <c r="W31" s="237" t="s">
        <v>139</v>
      </c>
      <c r="X31" s="242" t="s">
        <v>139</v>
      </c>
      <c r="Y31" s="233" t="s">
        <v>330</v>
      </c>
      <c r="Z31" s="233" t="s">
        <v>52</v>
      </c>
      <c r="AA31" s="233" t="s">
        <v>44</v>
      </c>
      <c r="AB31" s="243" t="s">
        <v>89</v>
      </c>
      <c r="AC31" s="233">
        <v>46000</v>
      </c>
    </row>
    <row r="32" spans="1:30" s="244" customFormat="1" ht="33.950000000000003" customHeight="1">
      <c r="A32" s="233" t="s">
        <v>16</v>
      </c>
      <c r="B32" s="234">
        <v>2512045</v>
      </c>
      <c r="C32" s="234">
        <v>70639</v>
      </c>
      <c r="D32" s="235" t="s">
        <v>45</v>
      </c>
      <c r="E32" s="234">
        <v>713952</v>
      </c>
      <c r="F32" s="236" t="s">
        <v>18</v>
      </c>
      <c r="G32" s="233" t="s">
        <v>19</v>
      </c>
      <c r="H32" s="237" t="s">
        <v>88</v>
      </c>
      <c r="I32" s="238">
        <v>10</v>
      </c>
      <c r="J32" s="238">
        <v>36</v>
      </c>
      <c r="K32" s="238">
        <v>102</v>
      </c>
      <c r="L32" s="238">
        <v>105</v>
      </c>
      <c r="M32" s="238">
        <v>68</v>
      </c>
      <c r="N32" s="238">
        <v>35</v>
      </c>
      <c r="O32" s="236"/>
      <c r="P32" s="239">
        <f t="shared" si="0"/>
        <v>356</v>
      </c>
      <c r="Q32" s="237"/>
      <c r="R32" s="240">
        <v>46122</v>
      </c>
      <c r="S32" s="240">
        <v>46127</v>
      </c>
      <c r="T32" s="240">
        <v>46127</v>
      </c>
      <c r="U32" s="241" t="s">
        <v>373</v>
      </c>
      <c r="V32" s="241" t="s">
        <v>175</v>
      </c>
      <c r="W32" s="237" t="s">
        <v>46</v>
      </c>
      <c r="X32" s="242"/>
      <c r="Y32" s="233" t="s">
        <v>330</v>
      </c>
      <c r="Z32" s="233" t="s">
        <v>31</v>
      </c>
      <c r="AA32" s="233" t="s">
        <v>47</v>
      </c>
      <c r="AB32" s="243" t="s">
        <v>89</v>
      </c>
      <c r="AC32" s="233">
        <v>46000</v>
      </c>
    </row>
    <row r="33" spans="1:29" s="244" customFormat="1" ht="33.950000000000003" customHeight="1">
      <c r="A33" s="233" t="s">
        <v>16</v>
      </c>
      <c r="B33" s="234">
        <v>2512045</v>
      </c>
      <c r="C33" s="234">
        <v>70639</v>
      </c>
      <c r="D33" s="235" t="s">
        <v>45</v>
      </c>
      <c r="E33" s="234">
        <v>713952</v>
      </c>
      <c r="F33" s="236" t="s">
        <v>18</v>
      </c>
      <c r="G33" s="233" t="s">
        <v>19</v>
      </c>
      <c r="H33" s="237" t="s">
        <v>88</v>
      </c>
      <c r="I33" s="236"/>
      <c r="J33" s="236"/>
      <c r="K33" s="236"/>
      <c r="L33" s="236"/>
      <c r="M33" s="236"/>
      <c r="N33" s="236"/>
      <c r="O33" s="238">
        <v>3</v>
      </c>
      <c r="P33" s="239">
        <f t="shared" si="0"/>
        <v>3</v>
      </c>
      <c r="Q33" s="237"/>
      <c r="R33" s="240">
        <v>46122</v>
      </c>
      <c r="S33" s="240">
        <v>46127</v>
      </c>
      <c r="T33" s="240">
        <v>46127</v>
      </c>
      <c r="U33" s="241" t="s">
        <v>373</v>
      </c>
      <c r="V33" s="241" t="s">
        <v>175</v>
      </c>
      <c r="W33" s="237" t="s">
        <v>46</v>
      </c>
      <c r="X33" s="242"/>
      <c r="Y33" s="233" t="s">
        <v>330</v>
      </c>
      <c r="Z33" s="233" t="s">
        <v>31</v>
      </c>
      <c r="AA33" s="233" t="s">
        <v>47</v>
      </c>
      <c r="AB33" s="243" t="s">
        <v>89</v>
      </c>
      <c r="AC33" s="233">
        <v>46000</v>
      </c>
    </row>
    <row r="34" spans="1:29" s="244" customFormat="1" ht="33.950000000000003" customHeight="1">
      <c r="A34" s="233" t="s">
        <v>16</v>
      </c>
      <c r="B34" s="234">
        <v>2512045</v>
      </c>
      <c r="C34" s="234">
        <v>70639</v>
      </c>
      <c r="D34" s="235" t="s">
        <v>74</v>
      </c>
      <c r="E34" s="234">
        <v>713952</v>
      </c>
      <c r="F34" s="236" t="s">
        <v>18</v>
      </c>
      <c r="G34" s="233" t="s">
        <v>19</v>
      </c>
      <c r="H34" s="237" t="s">
        <v>88</v>
      </c>
      <c r="I34" s="238">
        <v>22</v>
      </c>
      <c r="J34" s="238">
        <v>86</v>
      </c>
      <c r="K34" s="238">
        <v>92</v>
      </c>
      <c r="L34" s="238">
        <v>74</v>
      </c>
      <c r="M34" s="238">
        <v>21</v>
      </c>
      <c r="N34" s="238">
        <v>7</v>
      </c>
      <c r="O34" s="236"/>
      <c r="P34" s="239">
        <f t="shared" si="0"/>
        <v>302</v>
      </c>
      <c r="Q34" s="237"/>
      <c r="R34" s="240">
        <v>46137</v>
      </c>
      <c r="S34" s="240">
        <v>46142</v>
      </c>
      <c r="T34" s="240">
        <v>46142</v>
      </c>
      <c r="U34" s="241" t="s">
        <v>373</v>
      </c>
      <c r="V34" s="241" t="s">
        <v>176</v>
      </c>
      <c r="W34" s="237" t="s">
        <v>75</v>
      </c>
      <c r="X34" s="242"/>
      <c r="Y34" s="233" t="s">
        <v>330</v>
      </c>
      <c r="Z34" s="233" t="s">
        <v>76</v>
      </c>
      <c r="AA34" s="233" t="s">
        <v>77</v>
      </c>
      <c r="AB34" s="243" t="s">
        <v>89</v>
      </c>
      <c r="AC34" s="233">
        <v>46000</v>
      </c>
    </row>
    <row r="35" spans="1:29" s="244" customFormat="1" ht="30.6" customHeight="1">
      <c r="A35" s="248" t="s">
        <v>16</v>
      </c>
      <c r="B35" s="249">
        <v>2512090</v>
      </c>
      <c r="C35" s="249">
        <v>70639</v>
      </c>
      <c r="D35" s="250" t="s">
        <v>249</v>
      </c>
      <c r="E35" s="249">
        <v>713952</v>
      </c>
      <c r="F35" s="249" t="s">
        <v>18</v>
      </c>
      <c r="G35" s="248" t="s">
        <v>19</v>
      </c>
      <c r="H35" s="249" t="s">
        <v>88</v>
      </c>
      <c r="I35" s="251"/>
      <c r="J35" s="251"/>
      <c r="K35" s="251"/>
      <c r="L35" s="251"/>
      <c r="M35" s="251"/>
      <c r="N35" s="251"/>
      <c r="O35" s="252">
        <v>1</v>
      </c>
      <c r="P35" s="239">
        <f t="shared" si="0"/>
        <v>1</v>
      </c>
      <c r="Q35" s="249"/>
      <c r="R35" s="253">
        <v>46137</v>
      </c>
      <c r="S35" s="253">
        <v>46142</v>
      </c>
      <c r="T35" s="253">
        <v>46142</v>
      </c>
      <c r="U35" s="241" t="s">
        <v>373</v>
      </c>
      <c r="V35" s="254" t="s">
        <v>278</v>
      </c>
      <c r="W35" s="249" t="s">
        <v>250</v>
      </c>
      <c r="X35" s="255" t="s">
        <v>251</v>
      </c>
      <c r="Y35" s="248" t="s">
        <v>330</v>
      </c>
      <c r="Z35" s="248" t="s">
        <v>48</v>
      </c>
      <c r="AA35" s="248" t="s">
        <v>252</v>
      </c>
      <c r="AB35" s="243" t="s">
        <v>89</v>
      </c>
      <c r="AC35" s="248">
        <v>46009</v>
      </c>
    </row>
    <row r="36" spans="1:29" s="244" customFormat="1" ht="30.6" customHeight="1">
      <c r="A36" s="248" t="s">
        <v>16</v>
      </c>
      <c r="B36" s="249">
        <v>2512090</v>
      </c>
      <c r="C36" s="249">
        <v>70639</v>
      </c>
      <c r="D36" s="250" t="s">
        <v>249</v>
      </c>
      <c r="E36" s="249">
        <v>713952</v>
      </c>
      <c r="F36" s="249" t="s">
        <v>18</v>
      </c>
      <c r="G36" s="248" t="s">
        <v>19</v>
      </c>
      <c r="H36" s="249" t="s">
        <v>88</v>
      </c>
      <c r="I36" s="252">
        <v>67</v>
      </c>
      <c r="J36" s="252">
        <v>231</v>
      </c>
      <c r="K36" s="252">
        <v>294</v>
      </c>
      <c r="L36" s="252">
        <v>351</v>
      </c>
      <c r="M36" s="252">
        <v>164</v>
      </c>
      <c r="N36" s="252">
        <v>39</v>
      </c>
      <c r="O36" s="251"/>
      <c r="P36" s="239">
        <f t="shared" si="0"/>
        <v>1146</v>
      </c>
      <c r="Q36" s="249"/>
      <c r="R36" s="253">
        <v>46137</v>
      </c>
      <c r="S36" s="253">
        <v>46142</v>
      </c>
      <c r="T36" s="253">
        <v>46142</v>
      </c>
      <c r="U36" s="241" t="s">
        <v>373</v>
      </c>
      <c r="V36" s="254" t="s">
        <v>278</v>
      </c>
      <c r="W36" s="249" t="s">
        <v>250</v>
      </c>
      <c r="X36" s="255" t="s">
        <v>251</v>
      </c>
      <c r="Y36" s="248" t="s">
        <v>330</v>
      </c>
      <c r="Z36" s="248" t="s">
        <v>48</v>
      </c>
      <c r="AA36" s="248" t="s">
        <v>252</v>
      </c>
      <c r="AB36" s="243" t="s">
        <v>89</v>
      </c>
      <c r="AC36" s="248">
        <v>46009</v>
      </c>
    </row>
    <row r="37" spans="1:29" s="244" customFormat="1" ht="30.6" customHeight="1">
      <c r="A37" s="248" t="s">
        <v>16</v>
      </c>
      <c r="B37" s="249">
        <v>2512090</v>
      </c>
      <c r="C37" s="249">
        <v>70639</v>
      </c>
      <c r="D37" s="250" t="s">
        <v>262</v>
      </c>
      <c r="E37" s="249">
        <v>713952</v>
      </c>
      <c r="F37" s="249" t="s">
        <v>18</v>
      </c>
      <c r="G37" s="248" t="s">
        <v>19</v>
      </c>
      <c r="H37" s="249" t="s">
        <v>88</v>
      </c>
      <c r="I37" s="251"/>
      <c r="J37" s="252">
        <v>14</v>
      </c>
      <c r="K37" s="252">
        <v>26</v>
      </c>
      <c r="L37" s="252">
        <v>31</v>
      </c>
      <c r="M37" s="252">
        <v>21</v>
      </c>
      <c r="N37" s="252">
        <v>6</v>
      </c>
      <c r="O37" s="251"/>
      <c r="P37" s="239">
        <f t="shared" si="0"/>
        <v>98</v>
      </c>
      <c r="Q37" s="249"/>
      <c r="R37" s="253">
        <v>46137</v>
      </c>
      <c r="S37" s="253">
        <v>46142</v>
      </c>
      <c r="T37" s="253">
        <v>46142</v>
      </c>
      <c r="U37" s="241" t="s">
        <v>373</v>
      </c>
      <c r="V37" s="254" t="s">
        <v>279</v>
      </c>
      <c r="W37" s="249" t="s">
        <v>263</v>
      </c>
      <c r="X37" s="255" t="s">
        <v>264</v>
      </c>
      <c r="Y37" s="248" t="s">
        <v>330</v>
      </c>
      <c r="Z37" s="248" t="s">
        <v>48</v>
      </c>
      <c r="AA37" s="248" t="s">
        <v>265</v>
      </c>
      <c r="AB37" s="243" t="s">
        <v>89</v>
      </c>
      <c r="AC37" s="248">
        <v>46009</v>
      </c>
    </row>
    <row r="38" spans="1:29" s="244" customFormat="1" ht="30.6" customHeight="1">
      <c r="A38" s="248" t="s">
        <v>16</v>
      </c>
      <c r="B38" s="249">
        <v>2512090</v>
      </c>
      <c r="C38" s="249">
        <v>70639</v>
      </c>
      <c r="D38" s="250" t="s">
        <v>256</v>
      </c>
      <c r="E38" s="249">
        <v>713952</v>
      </c>
      <c r="F38" s="249" t="s">
        <v>18</v>
      </c>
      <c r="G38" s="248" t="s">
        <v>19</v>
      </c>
      <c r="H38" s="249" t="s">
        <v>88</v>
      </c>
      <c r="I38" s="252">
        <v>107</v>
      </c>
      <c r="J38" s="252">
        <v>389</v>
      </c>
      <c r="K38" s="252">
        <v>666</v>
      </c>
      <c r="L38" s="252">
        <v>659</v>
      </c>
      <c r="M38" s="252">
        <v>389</v>
      </c>
      <c r="N38" s="252">
        <v>114</v>
      </c>
      <c r="O38" s="251"/>
      <c r="P38" s="239">
        <f t="shared" si="0"/>
        <v>2324</v>
      </c>
      <c r="Q38" s="249"/>
      <c r="R38" s="253">
        <v>46137</v>
      </c>
      <c r="S38" s="253">
        <v>46142</v>
      </c>
      <c r="T38" s="253">
        <v>46142</v>
      </c>
      <c r="U38" s="241" t="s">
        <v>373</v>
      </c>
      <c r="V38" s="254" t="s">
        <v>280</v>
      </c>
      <c r="W38" s="249" t="s">
        <v>257</v>
      </c>
      <c r="X38" s="255" t="s">
        <v>258</v>
      </c>
      <c r="Y38" s="248" t="s">
        <v>330</v>
      </c>
      <c r="Z38" s="248" t="s">
        <v>48</v>
      </c>
      <c r="AA38" s="248" t="s">
        <v>259</v>
      </c>
      <c r="AB38" s="243" t="s">
        <v>89</v>
      </c>
      <c r="AC38" s="248">
        <v>46009</v>
      </c>
    </row>
    <row r="39" spans="1:29" s="244" customFormat="1" ht="30.6" customHeight="1">
      <c r="A39" s="248" t="s">
        <v>16</v>
      </c>
      <c r="B39" s="249">
        <v>2512090</v>
      </c>
      <c r="C39" s="249">
        <v>70639</v>
      </c>
      <c r="D39" s="250" t="s">
        <v>253</v>
      </c>
      <c r="E39" s="249">
        <v>713952</v>
      </c>
      <c r="F39" s="249" t="s">
        <v>18</v>
      </c>
      <c r="G39" s="248" t="s">
        <v>19</v>
      </c>
      <c r="H39" s="249" t="s">
        <v>88</v>
      </c>
      <c r="I39" s="252">
        <v>27</v>
      </c>
      <c r="J39" s="252">
        <v>82</v>
      </c>
      <c r="K39" s="252">
        <v>87</v>
      </c>
      <c r="L39" s="252">
        <v>73</v>
      </c>
      <c r="M39" s="252">
        <v>46</v>
      </c>
      <c r="N39" s="252">
        <v>9</v>
      </c>
      <c r="O39" s="251"/>
      <c r="P39" s="239">
        <f t="shared" si="0"/>
        <v>324</v>
      </c>
      <c r="Q39" s="249"/>
      <c r="R39" s="253">
        <v>46137</v>
      </c>
      <c r="S39" s="253">
        <v>46142</v>
      </c>
      <c r="T39" s="253">
        <v>46142</v>
      </c>
      <c r="U39" s="241" t="s">
        <v>373</v>
      </c>
      <c r="V39" s="254" t="s">
        <v>281</v>
      </c>
      <c r="W39" s="249" t="s">
        <v>254</v>
      </c>
      <c r="X39" s="255"/>
      <c r="Y39" s="248" t="s">
        <v>330</v>
      </c>
      <c r="Z39" s="248" t="s">
        <v>48</v>
      </c>
      <c r="AA39" s="248" t="s">
        <v>255</v>
      </c>
      <c r="AB39" s="243" t="s">
        <v>89</v>
      </c>
      <c r="AC39" s="248">
        <v>46009</v>
      </c>
    </row>
    <row r="40" spans="1:29" s="244" customFormat="1" ht="30.6" customHeight="1">
      <c r="A40" s="248" t="s">
        <v>16</v>
      </c>
      <c r="B40" s="249">
        <v>2512090</v>
      </c>
      <c r="C40" s="249">
        <v>70639</v>
      </c>
      <c r="D40" s="250" t="s">
        <v>238</v>
      </c>
      <c r="E40" s="249">
        <v>713952</v>
      </c>
      <c r="F40" s="249" t="s">
        <v>18</v>
      </c>
      <c r="G40" s="248" t="s">
        <v>19</v>
      </c>
      <c r="H40" s="249" t="s">
        <v>88</v>
      </c>
      <c r="I40" s="251"/>
      <c r="J40" s="251"/>
      <c r="K40" s="251"/>
      <c r="L40" s="251"/>
      <c r="M40" s="251"/>
      <c r="N40" s="251"/>
      <c r="O40" s="252">
        <v>180</v>
      </c>
      <c r="P40" s="239">
        <f t="shared" si="0"/>
        <v>180</v>
      </c>
      <c r="Q40" s="249"/>
      <c r="R40" s="253">
        <v>46137</v>
      </c>
      <c r="S40" s="253">
        <v>46142</v>
      </c>
      <c r="T40" s="253">
        <v>46142</v>
      </c>
      <c r="U40" s="241" t="s">
        <v>373</v>
      </c>
      <c r="V40" s="254" t="s">
        <v>282</v>
      </c>
      <c r="W40" s="249" t="s">
        <v>239</v>
      </c>
      <c r="X40" s="255" t="s">
        <v>239</v>
      </c>
      <c r="Y40" s="248" t="s">
        <v>330</v>
      </c>
      <c r="Z40" s="248" t="s">
        <v>240</v>
      </c>
      <c r="AA40" s="248" t="s">
        <v>241</v>
      </c>
      <c r="AB40" s="243" t="s">
        <v>89</v>
      </c>
      <c r="AC40" s="248">
        <v>46009</v>
      </c>
    </row>
    <row r="41" spans="1:29" s="244" customFormat="1" ht="30.6" customHeight="1">
      <c r="A41" s="248" t="s">
        <v>16</v>
      </c>
      <c r="B41" s="249">
        <v>2512090</v>
      </c>
      <c r="C41" s="249">
        <v>70639</v>
      </c>
      <c r="D41" s="250" t="s">
        <v>238</v>
      </c>
      <c r="E41" s="249">
        <v>713952</v>
      </c>
      <c r="F41" s="249" t="s">
        <v>18</v>
      </c>
      <c r="G41" s="248" t="s">
        <v>19</v>
      </c>
      <c r="H41" s="249" t="s">
        <v>88</v>
      </c>
      <c r="I41" s="252">
        <v>300</v>
      </c>
      <c r="J41" s="252">
        <v>1260</v>
      </c>
      <c r="K41" s="252">
        <v>1560</v>
      </c>
      <c r="L41" s="252">
        <v>1380</v>
      </c>
      <c r="M41" s="252">
        <v>900</v>
      </c>
      <c r="N41" s="252">
        <v>480</v>
      </c>
      <c r="O41" s="251"/>
      <c r="P41" s="239">
        <f t="shared" si="0"/>
        <v>5880</v>
      </c>
      <c r="Q41" s="249"/>
      <c r="R41" s="253">
        <v>46137</v>
      </c>
      <c r="S41" s="253">
        <v>46142</v>
      </c>
      <c r="T41" s="253">
        <v>46142</v>
      </c>
      <c r="U41" s="241" t="s">
        <v>373</v>
      </c>
      <c r="V41" s="254" t="s">
        <v>282</v>
      </c>
      <c r="W41" s="249" t="s">
        <v>239</v>
      </c>
      <c r="X41" s="255" t="s">
        <v>239</v>
      </c>
      <c r="Y41" s="248" t="s">
        <v>330</v>
      </c>
      <c r="Z41" s="248" t="s">
        <v>240</v>
      </c>
      <c r="AA41" s="248" t="s">
        <v>241</v>
      </c>
      <c r="AB41" s="243" t="s">
        <v>89</v>
      </c>
      <c r="AC41" s="248">
        <v>46009</v>
      </c>
    </row>
    <row r="42" spans="1:29" s="244" customFormat="1" ht="30.6" customHeight="1">
      <c r="A42" s="248" t="s">
        <v>16</v>
      </c>
      <c r="B42" s="249">
        <v>2512090</v>
      </c>
      <c r="C42" s="249">
        <v>70639</v>
      </c>
      <c r="D42" s="250" t="s">
        <v>238</v>
      </c>
      <c r="E42" s="249">
        <v>713952</v>
      </c>
      <c r="F42" s="249" t="s">
        <v>18</v>
      </c>
      <c r="G42" s="248" t="s">
        <v>19</v>
      </c>
      <c r="H42" s="249" t="s">
        <v>88</v>
      </c>
      <c r="I42" s="252">
        <v>240</v>
      </c>
      <c r="J42" s="252">
        <v>780</v>
      </c>
      <c r="K42" s="252">
        <v>1140</v>
      </c>
      <c r="L42" s="252">
        <v>1140</v>
      </c>
      <c r="M42" s="252">
        <v>720</v>
      </c>
      <c r="N42" s="252">
        <v>360</v>
      </c>
      <c r="O42" s="251"/>
      <c r="P42" s="239">
        <f t="shared" si="0"/>
        <v>4380</v>
      </c>
      <c r="Q42" s="249"/>
      <c r="R42" s="253">
        <v>46137</v>
      </c>
      <c r="S42" s="253">
        <v>46142</v>
      </c>
      <c r="T42" s="253">
        <v>46142</v>
      </c>
      <c r="U42" s="241" t="s">
        <v>373</v>
      </c>
      <c r="V42" s="254" t="s">
        <v>283</v>
      </c>
      <c r="W42" s="249" t="s">
        <v>239</v>
      </c>
      <c r="X42" s="255" t="s">
        <v>239</v>
      </c>
      <c r="Y42" s="248" t="s">
        <v>330</v>
      </c>
      <c r="Z42" s="248" t="s">
        <v>240</v>
      </c>
      <c r="AA42" s="248" t="s">
        <v>241</v>
      </c>
      <c r="AB42" s="243" t="s">
        <v>89</v>
      </c>
      <c r="AC42" s="248">
        <v>46009</v>
      </c>
    </row>
    <row r="43" spans="1:29" s="244" customFormat="1" ht="30.6" customHeight="1">
      <c r="A43" s="248" t="s">
        <v>16</v>
      </c>
      <c r="B43" s="249">
        <v>2512090</v>
      </c>
      <c r="C43" s="249">
        <v>70639</v>
      </c>
      <c r="D43" s="250" t="s">
        <v>266</v>
      </c>
      <c r="E43" s="249">
        <v>713952</v>
      </c>
      <c r="F43" s="249" t="s">
        <v>18</v>
      </c>
      <c r="G43" s="248" t="s">
        <v>19</v>
      </c>
      <c r="H43" s="249" t="s">
        <v>88</v>
      </c>
      <c r="I43" s="252">
        <v>20</v>
      </c>
      <c r="J43" s="252">
        <v>60</v>
      </c>
      <c r="K43" s="252">
        <v>108</v>
      </c>
      <c r="L43" s="252">
        <v>106</v>
      </c>
      <c r="M43" s="252">
        <v>72</v>
      </c>
      <c r="N43" s="252">
        <v>34</v>
      </c>
      <c r="O43" s="251"/>
      <c r="P43" s="239">
        <f t="shared" si="0"/>
        <v>400</v>
      </c>
      <c r="Q43" s="249"/>
      <c r="R43" s="253">
        <v>46137</v>
      </c>
      <c r="S43" s="253">
        <v>46142</v>
      </c>
      <c r="T43" s="253">
        <v>46142</v>
      </c>
      <c r="U43" s="241" t="s">
        <v>373</v>
      </c>
      <c r="V43" s="254" t="s">
        <v>284</v>
      </c>
      <c r="W43" s="249" t="s">
        <v>267</v>
      </c>
      <c r="X43" s="255"/>
      <c r="Y43" s="248" t="s">
        <v>330</v>
      </c>
      <c r="Z43" s="248" t="s">
        <v>31</v>
      </c>
      <c r="AA43" s="248" t="s">
        <v>268</v>
      </c>
      <c r="AB43" s="243" t="s">
        <v>89</v>
      </c>
      <c r="AC43" s="248">
        <v>46009</v>
      </c>
    </row>
    <row r="44" spans="1:29" s="244" customFormat="1" ht="30.6" customHeight="1">
      <c r="A44" s="248" t="s">
        <v>16</v>
      </c>
      <c r="B44" s="249">
        <v>2512090</v>
      </c>
      <c r="C44" s="249">
        <v>70639</v>
      </c>
      <c r="D44" s="250" t="s">
        <v>245</v>
      </c>
      <c r="E44" s="249">
        <v>713952</v>
      </c>
      <c r="F44" s="249" t="s">
        <v>18</v>
      </c>
      <c r="G44" s="248" t="s">
        <v>19</v>
      </c>
      <c r="H44" s="249" t="s">
        <v>88</v>
      </c>
      <c r="I44" s="252">
        <v>56</v>
      </c>
      <c r="J44" s="252">
        <v>131</v>
      </c>
      <c r="K44" s="252">
        <v>202</v>
      </c>
      <c r="L44" s="252">
        <v>197</v>
      </c>
      <c r="M44" s="252">
        <v>118</v>
      </c>
      <c r="N44" s="252">
        <v>48</v>
      </c>
      <c r="O44" s="251"/>
      <c r="P44" s="239">
        <f t="shared" si="0"/>
        <v>752</v>
      </c>
      <c r="Q44" s="249"/>
      <c r="R44" s="253">
        <v>46137</v>
      </c>
      <c r="S44" s="253">
        <v>46142</v>
      </c>
      <c r="T44" s="253">
        <v>46142</v>
      </c>
      <c r="U44" s="241" t="s">
        <v>373</v>
      </c>
      <c r="V44" s="254" t="s">
        <v>285</v>
      </c>
      <c r="W44" s="249" t="s">
        <v>246</v>
      </c>
      <c r="X44" s="255" t="s">
        <v>247</v>
      </c>
      <c r="Y44" s="248" t="s">
        <v>330</v>
      </c>
      <c r="Z44" s="248" t="s">
        <v>48</v>
      </c>
      <c r="AA44" s="248" t="s">
        <v>248</v>
      </c>
      <c r="AB44" s="243" t="s">
        <v>89</v>
      </c>
      <c r="AC44" s="248">
        <v>46009</v>
      </c>
    </row>
    <row r="45" spans="1:29" s="247" customFormat="1" ht="28.5" customHeight="1">
      <c r="A45" s="149" t="s">
        <v>16</v>
      </c>
      <c r="B45" s="109" t="s">
        <v>323</v>
      </c>
      <c r="C45" s="109" t="s">
        <v>312</v>
      </c>
      <c r="D45" s="150" t="s">
        <v>260</v>
      </c>
      <c r="E45" s="109" t="s">
        <v>313</v>
      </c>
      <c r="F45" s="109" t="s">
        <v>18</v>
      </c>
      <c r="G45" s="149" t="s">
        <v>19</v>
      </c>
      <c r="H45" s="109" t="s">
        <v>88</v>
      </c>
      <c r="I45" s="256">
        <v>32</v>
      </c>
      <c r="J45" s="256">
        <v>54</v>
      </c>
      <c r="K45" s="256">
        <v>49</v>
      </c>
      <c r="L45" s="256">
        <v>23</v>
      </c>
      <c r="M45" s="256">
        <v>10</v>
      </c>
      <c r="N45" s="256">
        <v>2</v>
      </c>
      <c r="O45" s="257"/>
      <c r="P45" s="77">
        <f t="shared" si="0"/>
        <v>170</v>
      </c>
      <c r="Q45" s="109"/>
      <c r="R45" s="97">
        <v>46137</v>
      </c>
      <c r="S45" s="97">
        <v>46142</v>
      </c>
      <c r="T45" s="97">
        <v>46142</v>
      </c>
      <c r="U45" s="157" t="s">
        <v>373</v>
      </c>
      <c r="V45" s="157" t="s">
        <v>333</v>
      </c>
      <c r="W45" s="109" t="s">
        <v>250</v>
      </c>
      <c r="X45" s="153" t="s">
        <v>261</v>
      </c>
      <c r="Y45" s="149" t="s">
        <v>330</v>
      </c>
      <c r="Z45" s="149"/>
      <c r="AA45" s="149" t="s">
        <v>89</v>
      </c>
      <c r="AB45" s="246" t="s">
        <v>89</v>
      </c>
      <c r="AC45" s="258">
        <v>46374</v>
      </c>
    </row>
    <row r="46" spans="1:29" s="247" customFormat="1" ht="30.6" customHeight="1">
      <c r="A46" s="149" t="s">
        <v>16</v>
      </c>
      <c r="B46" s="109" t="s">
        <v>323</v>
      </c>
      <c r="C46" s="109" t="s">
        <v>312</v>
      </c>
      <c r="D46" s="150" t="s">
        <v>318</v>
      </c>
      <c r="E46" s="109" t="s">
        <v>313</v>
      </c>
      <c r="F46" s="109" t="s">
        <v>18</v>
      </c>
      <c r="G46" s="149" t="s">
        <v>19</v>
      </c>
      <c r="H46" s="109" t="s">
        <v>88</v>
      </c>
      <c r="I46" s="256">
        <v>3</v>
      </c>
      <c r="J46" s="256">
        <v>11</v>
      </c>
      <c r="K46" s="256">
        <v>25</v>
      </c>
      <c r="L46" s="256">
        <v>29</v>
      </c>
      <c r="M46" s="256">
        <v>44</v>
      </c>
      <c r="N46" s="256">
        <v>12</v>
      </c>
      <c r="O46" s="257"/>
      <c r="P46" s="77">
        <f t="shared" si="0"/>
        <v>124</v>
      </c>
      <c r="Q46" s="109"/>
      <c r="R46" s="97">
        <v>46157</v>
      </c>
      <c r="S46" s="97">
        <v>46162</v>
      </c>
      <c r="T46" s="97">
        <v>46162</v>
      </c>
      <c r="U46" s="157" t="s">
        <v>373</v>
      </c>
      <c r="V46" s="157" t="s">
        <v>324</v>
      </c>
      <c r="W46" s="109" t="s">
        <v>40</v>
      </c>
      <c r="X46" s="153"/>
      <c r="Y46" s="149" t="s">
        <v>330</v>
      </c>
      <c r="Z46" s="149" t="s">
        <v>31</v>
      </c>
      <c r="AA46" s="149" t="s">
        <v>319</v>
      </c>
      <c r="AB46" s="258" t="s">
        <v>89</v>
      </c>
      <c r="AC46" s="258">
        <v>46029</v>
      </c>
    </row>
    <row r="47" spans="1:29" s="247" customFormat="1" ht="30.6" customHeight="1">
      <c r="A47" s="149" t="s">
        <v>16</v>
      </c>
      <c r="B47" s="109" t="s">
        <v>323</v>
      </c>
      <c r="C47" s="109" t="s">
        <v>312</v>
      </c>
      <c r="D47" s="150" t="s">
        <v>318</v>
      </c>
      <c r="E47" s="109" t="s">
        <v>313</v>
      </c>
      <c r="F47" s="109" t="s">
        <v>18</v>
      </c>
      <c r="G47" s="149" t="s">
        <v>19</v>
      </c>
      <c r="H47" s="109" t="s">
        <v>88</v>
      </c>
      <c r="I47" s="257"/>
      <c r="J47" s="257"/>
      <c r="K47" s="257"/>
      <c r="L47" s="257"/>
      <c r="M47" s="257"/>
      <c r="N47" s="257"/>
      <c r="O47" s="256">
        <v>1</v>
      </c>
      <c r="P47" s="77">
        <f t="shared" si="0"/>
        <v>1</v>
      </c>
      <c r="Q47" s="109"/>
      <c r="R47" s="97">
        <v>46157</v>
      </c>
      <c r="S47" s="97">
        <v>46162</v>
      </c>
      <c r="T47" s="97">
        <v>46162</v>
      </c>
      <c r="U47" s="157" t="s">
        <v>373</v>
      </c>
      <c r="V47" s="157" t="s">
        <v>324</v>
      </c>
      <c r="W47" s="109" t="s">
        <v>40</v>
      </c>
      <c r="X47" s="153"/>
      <c r="Y47" s="149" t="s">
        <v>330</v>
      </c>
      <c r="Z47" s="149" t="s">
        <v>31</v>
      </c>
      <c r="AA47" s="149" t="s">
        <v>319</v>
      </c>
      <c r="AB47" s="258" t="s">
        <v>89</v>
      </c>
      <c r="AC47" s="258">
        <v>46029</v>
      </c>
    </row>
    <row r="48" spans="1:29" s="247" customFormat="1" ht="30.6" customHeight="1">
      <c r="A48" s="149" t="s">
        <v>16</v>
      </c>
      <c r="B48" s="109" t="s">
        <v>323</v>
      </c>
      <c r="C48" s="109" t="s">
        <v>312</v>
      </c>
      <c r="D48" s="150" t="s">
        <v>314</v>
      </c>
      <c r="E48" s="109" t="s">
        <v>313</v>
      </c>
      <c r="F48" s="109" t="s">
        <v>18</v>
      </c>
      <c r="G48" s="149" t="s">
        <v>19</v>
      </c>
      <c r="H48" s="109" t="s">
        <v>88</v>
      </c>
      <c r="I48" s="257"/>
      <c r="J48" s="256">
        <v>55</v>
      </c>
      <c r="K48" s="256">
        <v>109</v>
      </c>
      <c r="L48" s="256">
        <v>109</v>
      </c>
      <c r="M48" s="256">
        <v>54</v>
      </c>
      <c r="N48" s="257"/>
      <c r="O48" s="257"/>
      <c r="P48" s="77">
        <f t="shared" si="0"/>
        <v>327</v>
      </c>
      <c r="Q48" s="109"/>
      <c r="R48" s="97">
        <v>46173</v>
      </c>
      <c r="S48" s="97">
        <v>46178</v>
      </c>
      <c r="T48" s="97">
        <v>46178</v>
      </c>
      <c r="U48" s="157" t="s">
        <v>373</v>
      </c>
      <c r="V48" s="157" t="s">
        <v>325</v>
      </c>
      <c r="W48" s="109" t="s">
        <v>28</v>
      </c>
      <c r="X48" s="153" t="s">
        <v>315</v>
      </c>
      <c r="Y48" s="149" t="s">
        <v>330</v>
      </c>
      <c r="Z48" s="149" t="s">
        <v>316</v>
      </c>
      <c r="AA48" s="149" t="s">
        <v>317</v>
      </c>
      <c r="AB48" s="258" t="s">
        <v>89</v>
      </c>
      <c r="AC48" s="258">
        <v>46029</v>
      </c>
    </row>
    <row r="49" spans="1:30" s="247" customFormat="1" ht="30.6" customHeight="1">
      <c r="A49" s="149" t="s">
        <v>16</v>
      </c>
      <c r="B49" s="109" t="s">
        <v>323</v>
      </c>
      <c r="C49" s="109" t="s">
        <v>312</v>
      </c>
      <c r="D49" s="150" t="s">
        <v>320</v>
      </c>
      <c r="E49" s="109" t="s">
        <v>313</v>
      </c>
      <c r="F49" s="109" t="s">
        <v>18</v>
      </c>
      <c r="G49" s="149" t="s">
        <v>19</v>
      </c>
      <c r="H49" s="109" t="s">
        <v>88</v>
      </c>
      <c r="I49" s="257"/>
      <c r="J49" s="257"/>
      <c r="K49" s="257"/>
      <c r="L49" s="256">
        <v>19</v>
      </c>
      <c r="M49" s="256">
        <v>77</v>
      </c>
      <c r="N49" s="257"/>
      <c r="O49" s="257"/>
      <c r="P49" s="77">
        <f t="shared" si="0"/>
        <v>96</v>
      </c>
      <c r="Q49" s="109"/>
      <c r="R49" s="97">
        <v>46157</v>
      </c>
      <c r="S49" s="97">
        <v>46162</v>
      </c>
      <c r="T49" s="97">
        <v>46162</v>
      </c>
      <c r="U49" s="157" t="s">
        <v>373</v>
      </c>
      <c r="V49" s="157" t="s">
        <v>326</v>
      </c>
      <c r="W49" s="109" t="s">
        <v>40</v>
      </c>
      <c r="X49" s="153" t="s">
        <v>321</v>
      </c>
      <c r="Y49" s="149" t="s">
        <v>330</v>
      </c>
      <c r="Z49" s="149" t="s">
        <v>31</v>
      </c>
      <c r="AA49" s="149" t="s">
        <v>322</v>
      </c>
      <c r="AB49" s="258" t="s">
        <v>89</v>
      </c>
      <c r="AC49" s="258">
        <v>46029</v>
      </c>
    </row>
    <row r="50" spans="1:30" s="247" customFormat="1" ht="30.6" customHeight="1">
      <c r="A50" s="149" t="s">
        <v>16</v>
      </c>
      <c r="B50" s="109" t="s">
        <v>323</v>
      </c>
      <c r="C50" s="109" t="s">
        <v>312</v>
      </c>
      <c r="D50" s="150" t="s">
        <v>314</v>
      </c>
      <c r="E50" s="109" t="s">
        <v>313</v>
      </c>
      <c r="F50" s="109" t="s">
        <v>18</v>
      </c>
      <c r="G50" s="149" t="s">
        <v>19</v>
      </c>
      <c r="H50" s="109" t="s">
        <v>88</v>
      </c>
      <c r="I50" s="257"/>
      <c r="J50" s="257"/>
      <c r="K50" s="257"/>
      <c r="L50" s="257"/>
      <c r="M50" s="257"/>
      <c r="N50" s="257"/>
      <c r="O50" s="256">
        <v>4</v>
      </c>
      <c r="P50" s="77">
        <f t="shared" si="0"/>
        <v>4</v>
      </c>
      <c r="Q50" s="109"/>
      <c r="R50" s="97">
        <v>46173</v>
      </c>
      <c r="S50" s="97">
        <v>46178</v>
      </c>
      <c r="T50" s="97">
        <v>46178</v>
      </c>
      <c r="U50" s="157" t="s">
        <v>373</v>
      </c>
      <c r="V50" s="157" t="s">
        <v>327</v>
      </c>
      <c r="W50" s="109" t="s">
        <v>28</v>
      </c>
      <c r="X50" s="153" t="s">
        <v>315</v>
      </c>
      <c r="Y50" s="149" t="s">
        <v>330</v>
      </c>
      <c r="Z50" s="149" t="s">
        <v>316</v>
      </c>
      <c r="AA50" s="149" t="s">
        <v>317</v>
      </c>
      <c r="AB50" s="258" t="s">
        <v>89</v>
      </c>
      <c r="AC50" s="258">
        <v>46029</v>
      </c>
    </row>
    <row r="51" spans="1:30" s="247" customFormat="1" ht="30.6" customHeight="1">
      <c r="A51" s="149" t="s">
        <v>16</v>
      </c>
      <c r="B51" s="109" t="s">
        <v>323</v>
      </c>
      <c r="C51" s="109" t="s">
        <v>312</v>
      </c>
      <c r="D51" s="150" t="s">
        <v>314</v>
      </c>
      <c r="E51" s="109" t="s">
        <v>313</v>
      </c>
      <c r="F51" s="109" t="s">
        <v>18</v>
      </c>
      <c r="G51" s="149" t="s">
        <v>19</v>
      </c>
      <c r="H51" s="109" t="s">
        <v>88</v>
      </c>
      <c r="I51" s="256">
        <v>4</v>
      </c>
      <c r="J51" s="256">
        <v>78</v>
      </c>
      <c r="K51" s="256">
        <v>120</v>
      </c>
      <c r="L51" s="256">
        <v>130</v>
      </c>
      <c r="M51" s="256">
        <v>76</v>
      </c>
      <c r="N51" s="256">
        <v>37</v>
      </c>
      <c r="O51" s="257"/>
      <c r="P51" s="77">
        <f>SUM(I51:O51)</f>
        <v>445</v>
      </c>
      <c r="Q51" s="109"/>
      <c r="R51" s="97">
        <v>46173</v>
      </c>
      <c r="S51" s="97">
        <v>46178</v>
      </c>
      <c r="T51" s="97">
        <v>46178</v>
      </c>
      <c r="U51" s="157" t="s">
        <v>373</v>
      </c>
      <c r="V51" s="157" t="s">
        <v>327</v>
      </c>
      <c r="W51" s="109" t="s">
        <v>28</v>
      </c>
      <c r="X51" s="153" t="s">
        <v>315</v>
      </c>
      <c r="Y51" s="149" t="s">
        <v>330</v>
      </c>
      <c r="Z51" s="149" t="s">
        <v>316</v>
      </c>
      <c r="AA51" s="149" t="s">
        <v>317</v>
      </c>
      <c r="AB51" s="258" t="s">
        <v>89</v>
      </c>
      <c r="AC51" s="258">
        <v>46029</v>
      </c>
    </row>
    <row r="52" spans="1:30" s="247" customFormat="1" ht="30.6" customHeight="1">
      <c r="A52" s="149" t="s">
        <v>16</v>
      </c>
      <c r="B52" s="109" t="s">
        <v>323</v>
      </c>
      <c r="C52" s="109" t="s">
        <v>312</v>
      </c>
      <c r="D52" s="150" t="s">
        <v>45</v>
      </c>
      <c r="E52" s="109" t="s">
        <v>313</v>
      </c>
      <c r="F52" s="109" t="s">
        <v>18</v>
      </c>
      <c r="G52" s="149" t="s">
        <v>19</v>
      </c>
      <c r="H52" s="109" t="s">
        <v>88</v>
      </c>
      <c r="I52" s="257"/>
      <c r="J52" s="256">
        <v>6</v>
      </c>
      <c r="K52" s="256">
        <v>8</v>
      </c>
      <c r="L52" s="256">
        <v>6</v>
      </c>
      <c r="M52" s="256">
        <v>4</v>
      </c>
      <c r="N52" s="257"/>
      <c r="O52" s="257"/>
      <c r="P52" s="77">
        <f t="shared" si="0"/>
        <v>24</v>
      </c>
      <c r="Q52" s="109"/>
      <c r="R52" s="97">
        <v>46157</v>
      </c>
      <c r="S52" s="97">
        <v>46162</v>
      </c>
      <c r="T52" s="97">
        <v>46162</v>
      </c>
      <c r="U52" s="157" t="s">
        <v>373</v>
      </c>
      <c r="V52" s="157" t="s">
        <v>328</v>
      </c>
      <c r="W52" s="109" t="s">
        <v>40</v>
      </c>
      <c r="X52" s="153" t="s">
        <v>102</v>
      </c>
      <c r="Y52" s="149" t="s">
        <v>330</v>
      </c>
      <c r="Z52" s="149" t="s">
        <v>31</v>
      </c>
      <c r="AA52" s="149" t="s">
        <v>47</v>
      </c>
      <c r="AB52" s="258" t="s">
        <v>89</v>
      </c>
      <c r="AC52" s="258">
        <v>46029</v>
      </c>
    </row>
    <row r="53" spans="1:30" s="247" customFormat="1" ht="30.6" customHeight="1">
      <c r="A53" s="149" t="s">
        <v>16</v>
      </c>
      <c r="B53" s="109" t="s">
        <v>323</v>
      </c>
      <c r="C53" s="109" t="s">
        <v>312</v>
      </c>
      <c r="D53" s="150" t="s">
        <v>314</v>
      </c>
      <c r="E53" s="109" t="s">
        <v>313</v>
      </c>
      <c r="F53" s="109" t="s">
        <v>18</v>
      </c>
      <c r="G53" s="149" t="s">
        <v>19</v>
      </c>
      <c r="H53" s="109" t="s">
        <v>88</v>
      </c>
      <c r="I53" s="256">
        <v>4</v>
      </c>
      <c r="J53" s="256">
        <v>24</v>
      </c>
      <c r="K53" s="256">
        <v>48</v>
      </c>
      <c r="L53" s="256">
        <v>61</v>
      </c>
      <c r="M53" s="256">
        <v>35</v>
      </c>
      <c r="N53" s="256">
        <v>7</v>
      </c>
      <c r="O53" s="257"/>
      <c r="P53" s="77">
        <f t="shared" si="0"/>
        <v>179</v>
      </c>
      <c r="Q53" s="109"/>
      <c r="R53" s="97">
        <v>46203</v>
      </c>
      <c r="S53" s="97">
        <v>46208</v>
      </c>
      <c r="T53" s="97">
        <v>46208</v>
      </c>
      <c r="U53" s="157" t="s">
        <v>373</v>
      </c>
      <c r="V53" s="157" t="s">
        <v>329</v>
      </c>
      <c r="W53" s="109" t="s">
        <v>28</v>
      </c>
      <c r="X53" s="153" t="s">
        <v>315</v>
      </c>
      <c r="Y53" s="149" t="s">
        <v>330</v>
      </c>
      <c r="Z53" s="149" t="s">
        <v>316</v>
      </c>
      <c r="AA53" s="149" t="s">
        <v>317</v>
      </c>
      <c r="AB53" s="258" t="s">
        <v>89</v>
      </c>
      <c r="AC53" s="258">
        <v>46029</v>
      </c>
    </row>
    <row r="54" spans="1:30" s="247" customFormat="1" ht="27.75" customHeight="1">
      <c r="A54" s="149" t="s">
        <v>16</v>
      </c>
      <c r="B54" s="365">
        <v>2602027</v>
      </c>
      <c r="C54" s="365">
        <v>70639</v>
      </c>
      <c r="D54" s="150" t="s">
        <v>407</v>
      </c>
      <c r="E54" s="365">
        <v>713952</v>
      </c>
      <c r="F54" s="257" t="s">
        <v>18</v>
      </c>
      <c r="G54" s="257" t="s">
        <v>19</v>
      </c>
      <c r="H54" s="257" t="s">
        <v>88</v>
      </c>
      <c r="I54" s="257"/>
      <c r="J54" s="256">
        <v>172</v>
      </c>
      <c r="K54" s="256">
        <v>172</v>
      </c>
      <c r="L54" s="256">
        <v>115</v>
      </c>
      <c r="M54" s="256">
        <v>115</v>
      </c>
      <c r="N54" s="157"/>
      <c r="O54" s="109"/>
      <c r="P54" s="366">
        <v>574</v>
      </c>
      <c r="Q54" s="109"/>
      <c r="R54" s="367">
        <v>46249</v>
      </c>
      <c r="S54" s="367">
        <v>46254</v>
      </c>
      <c r="T54" s="367">
        <v>46254</v>
      </c>
      <c r="U54" s="157" t="s">
        <v>373</v>
      </c>
      <c r="V54" s="366">
        <v>4602894491</v>
      </c>
      <c r="W54" s="149" t="s">
        <v>409</v>
      </c>
      <c r="X54" s="149"/>
      <c r="Y54" s="149" t="s">
        <v>330</v>
      </c>
      <c r="Z54" s="149" t="s">
        <v>316</v>
      </c>
      <c r="AA54" s="149" t="s">
        <v>410</v>
      </c>
      <c r="AB54" s="368" t="s">
        <v>89</v>
      </c>
      <c r="AC54" s="149">
        <v>46057</v>
      </c>
      <c r="AD54" s="247" t="s">
        <v>396</v>
      </c>
    </row>
    <row r="55" spans="1:30" s="247" customFormat="1" ht="27.75" customHeight="1">
      <c r="A55" s="149" t="s">
        <v>16</v>
      </c>
      <c r="B55" s="365">
        <v>2602027</v>
      </c>
      <c r="C55" s="365">
        <v>70639</v>
      </c>
      <c r="D55" s="150" t="s">
        <v>407</v>
      </c>
      <c r="E55" s="365">
        <v>713952</v>
      </c>
      <c r="F55" s="257" t="s">
        <v>18</v>
      </c>
      <c r="G55" s="257" t="s">
        <v>19</v>
      </c>
      <c r="H55" s="257" t="s">
        <v>88</v>
      </c>
      <c r="I55" s="257"/>
      <c r="J55" s="257"/>
      <c r="K55" s="256">
        <v>225</v>
      </c>
      <c r="L55" s="256">
        <v>226</v>
      </c>
      <c r="M55" s="256">
        <v>113</v>
      </c>
      <c r="N55" s="157"/>
      <c r="O55" s="109"/>
      <c r="P55" s="366">
        <v>564</v>
      </c>
      <c r="Q55" s="109"/>
      <c r="R55" s="367">
        <v>46259</v>
      </c>
      <c r="S55" s="367">
        <v>46264</v>
      </c>
      <c r="T55" s="367">
        <v>46264</v>
      </c>
      <c r="U55" s="157" t="s">
        <v>373</v>
      </c>
      <c r="V55" s="366">
        <v>4602894495</v>
      </c>
      <c r="W55" s="149" t="s">
        <v>409</v>
      </c>
      <c r="X55" s="149"/>
      <c r="Y55" s="149" t="s">
        <v>330</v>
      </c>
      <c r="Z55" s="149" t="s">
        <v>316</v>
      </c>
      <c r="AA55" s="149" t="s">
        <v>410</v>
      </c>
      <c r="AB55" s="368" t="s">
        <v>89</v>
      </c>
      <c r="AC55" s="149">
        <v>46057</v>
      </c>
      <c r="AD55" s="247" t="s">
        <v>396</v>
      </c>
    </row>
    <row r="56" spans="1:30" s="247" customFormat="1" ht="27.75" customHeight="1">
      <c r="A56" s="149" t="s">
        <v>16</v>
      </c>
      <c r="B56" s="365">
        <v>2602027</v>
      </c>
      <c r="C56" s="365">
        <v>70639</v>
      </c>
      <c r="D56" s="150" t="s">
        <v>407</v>
      </c>
      <c r="E56" s="365">
        <v>713952</v>
      </c>
      <c r="F56" s="257" t="s">
        <v>18</v>
      </c>
      <c r="G56" s="257" t="s">
        <v>19</v>
      </c>
      <c r="H56" s="257" t="s">
        <v>88</v>
      </c>
      <c r="I56" s="257"/>
      <c r="J56" s="256">
        <v>13</v>
      </c>
      <c r="K56" s="256">
        <v>20</v>
      </c>
      <c r="L56" s="256">
        <v>19</v>
      </c>
      <c r="M56" s="256">
        <v>11</v>
      </c>
      <c r="N56" s="157"/>
      <c r="O56" s="109"/>
      <c r="P56" s="366">
        <v>63</v>
      </c>
      <c r="Q56" s="109"/>
      <c r="R56" s="367">
        <v>46249</v>
      </c>
      <c r="S56" s="367">
        <v>46254</v>
      </c>
      <c r="T56" s="367">
        <v>46254</v>
      </c>
      <c r="U56" s="157" t="s">
        <v>373</v>
      </c>
      <c r="V56" s="366">
        <v>4602894489</v>
      </c>
      <c r="W56" s="149" t="s">
        <v>409</v>
      </c>
      <c r="X56" s="149"/>
      <c r="Y56" s="149" t="s">
        <v>330</v>
      </c>
      <c r="Z56" s="149" t="s">
        <v>316</v>
      </c>
      <c r="AA56" s="149" t="s">
        <v>410</v>
      </c>
      <c r="AB56" s="368" t="s">
        <v>89</v>
      </c>
      <c r="AC56" s="149">
        <v>46057</v>
      </c>
      <c r="AD56" s="247" t="s">
        <v>396</v>
      </c>
    </row>
    <row r="57" spans="1:30" s="247" customFormat="1" ht="30.6" customHeight="1">
      <c r="A57" s="149"/>
      <c r="B57" s="109"/>
      <c r="C57" s="109"/>
      <c r="D57" s="150"/>
      <c r="E57" s="109"/>
      <c r="F57" s="109"/>
      <c r="G57" s="149"/>
      <c r="H57" s="109"/>
      <c r="I57" s="259"/>
      <c r="J57" s="259"/>
      <c r="K57" s="259"/>
      <c r="L57" s="259"/>
      <c r="M57" s="259"/>
      <c r="N57" s="259"/>
      <c r="O57" s="259"/>
      <c r="P57" s="260"/>
      <c r="Q57" s="109"/>
      <c r="R57" s="261"/>
      <c r="S57" s="109"/>
      <c r="T57" s="109"/>
      <c r="U57" s="157"/>
      <c r="V57" s="157"/>
      <c r="W57" s="109"/>
      <c r="X57" s="153"/>
      <c r="Y57" s="149"/>
      <c r="Z57" s="149"/>
      <c r="AA57" s="149"/>
      <c r="AB57" s="258"/>
      <c r="AC57" s="258"/>
    </row>
    <row r="58" spans="1:30">
      <c r="A58" s="262"/>
      <c r="B58" s="262"/>
      <c r="C58" s="262"/>
      <c r="D58" s="263"/>
      <c r="E58" s="262"/>
      <c r="F58" s="262"/>
      <c r="G58" s="262"/>
      <c r="H58" s="264"/>
      <c r="I58" s="265"/>
      <c r="J58" s="265"/>
      <c r="K58" s="265"/>
      <c r="L58" s="265"/>
      <c r="M58" s="265"/>
      <c r="N58" s="265"/>
      <c r="O58" s="265"/>
      <c r="P58" s="266">
        <f>SUM(P7:P56)</f>
        <v>24327</v>
      </c>
      <c r="Q58" s="264"/>
      <c r="R58" s="267"/>
      <c r="S58" s="264"/>
      <c r="T58" s="264"/>
      <c r="U58" s="268"/>
      <c r="V58" s="268"/>
      <c r="W58" s="264"/>
      <c r="X58" s="269"/>
      <c r="Y58" s="262"/>
      <c r="Z58" s="262"/>
      <c r="AA58" s="248"/>
      <c r="AB58" s="248"/>
      <c r="AC58" s="248"/>
    </row>
  </sheetData>
  <mergeCells count="2">
    <mergeCell ref="A2:D2"/>
    <mergeCell ref="A4:D4"/>
  </mergeCells>
  <pageMargins left="0" right="0" top="0.39370078740157483" bottom="0.74803149606299213" header="0.31496062992125984" footer="0.31496062992125984"/>
  <pageSetup paperSize="8" scale="41" orientation="landscape" r:id="rId1"/>
  <headerFooter>
    <oddFooter>&amp;C第 &amp;P 页，共 &amp;N 页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0"/>
    <pageSetUpPr fitToPage="1"/>
  </sheetPr>
  <dimension ref="A1:AD60"/>
  <sheetViews>
    <sheetView view="pageBreakPreview" zoomScale="70" zoomScaleNormal="60" zoomScaleSheetLayoutView="70" workbookViewId="0">
      <pane xSplit="5" ySplit="6" topLeftCell="L7" activePane="bottomRight" state="frozen"/>
      <selection pane="topRight" activeCell="F1" sqref="F1"/>
      <selection pane="bottomLeft" activeCell="A7" sqref="A7"/>
      <selection pane="bottomRight" activeCell="S77" sqref="S77"/>
    </sheetView>
  </sheetViews>
  <sheetFormatPr defaultColWidth="9" defaultRowHeight="14.25"/>
  <cols>
    <col min="1" max="1" width="13.5703125" style="17" customWidth="1"/>
    <col min="2" max="2" width="16" style="17" customWidth="1"/>
    <col min="3" max="3" width="12.5703125" style="17" customWidth="1"/>
    <col min="4" max="4" width="15.85546875" style="62" customWidth="1"/>
    <col min="5" max="5" width="15.85546875" style="17" customWidth="1"/>
    <col min="6" max="6" width="12.140625" style="17" customWidth="1"/>
    <col min="7" max="7" width="18.85546875" style="17" customWidth="1"/>
    <col min="8" max="9" width="14.28515625" style="63" customWidth="1"/>
    <col min="10" max="10" width="11.140625" style="63" customWidth="1"/>
    <col min="11" max="11" width="9" style="63" customWidth="1"/>
    <col min="12" max="12" width="10.85546875" style="63" customWidth="1"/>
    <col min="13" max="13" width="9" style="63" customWidth="1"/>
    <col min="14" max="14" width="10.5703125" style="63" customWidth="1"/>
    <col min="15" max="15" width="10.42578125" style="63" customWidth="1"/>
    <col min="16" max="16" width="15.140625" style="15" customWidth="1"/>
    <col min="17" max="17" width="9" style="63" customWidth="1"/>
    <col min="18" max="19" width="22.42578125" style="187" customWidth="1"/>
    <col min="20" max="20" width="18.5703125" style="15" customWidth="1"/>
    <col min="21" max="21" width="17.28515625" style="15" customWidth="1"/>
    <col min="22" max="22" width="26" style="15" customWidth="1"/>
    <col min="23" max="23" width="12.5703125" style="63" customWidth="1"/>
    <col min="24" max="24" width="17.7109375" style="16" customWidth="1"/>
    <col min="25" max="25" width="18.28515625" style="17" customWidth="1"/>
    <col min="26" max="26" width="14.85546875" style="17" customWidth="1"/>
    <col min="27" max="27" width="27.140625" style="64" customWidth="1"/>
    <col min="28" max="28" width="20.42578125" style="64" customWidth="1"/>
    <col min="29" max="29" width="16.7109375" style="82" customWidth="1"/>
    <col min="30" max="16384" width="9" style="8"/>
  </cols>
  <sheetData>
    <row r="1" spans="1:29" ht="15.75">
      <c r="A1" s="1" t="s">
        <v>337</v>
      </c>
      <c r="B1" s="1"/>
      <c r="C1" s="1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5"/>
      <c r="Q1" s="4"/>
      <c r="R1" s="183"/>
      <c r="S1" s="183"/>
      <c r="T1" s="5"/>
      <c r="U1" s="5"/>
      <c r="V1" s="5"/>
      <c r="W1" s="4"/>
      <c r="X1" s="6"/>
      <c r="Y1" s="3"/>
      <c r="Z1" s="3"/>
      <c r="AA1" s="7"/>
      <c r="AB1" s="7"/>
      <c r="AC1" s="70"/>
    </row>
    <row r="2" spans="1:29" ht="25.5" customHeight="1">
      <c r="A2" s="381" t="s">
        <v>83</v>
      </c>
      <c r="B2" s="381"/>
      <c r="C2" s="381"/>
      <c r="D2" s="381"/>
      <c r="E2" s="9"/>
      <c r="F2" s="9"/>
      <c r="G2" s="9"/>
      <c r="H2" s="4"/>
      <c r="I2" s="4"/>
      <c r="J2" s="4"/>
      <c r="K2" s="4"/>
      <c r="L2" s="4"/>
      <c r="M2" s="4"/>
      <c r="N2" s="10"/>
      <c r="O2" s="4" t="s">
        <v>338</v>
      </c>
      <c r="P2" s="11"/>
      <c r="Q2" s="12"/>
      <c r="R2" s="183" t="s">
        <v>339</v>
      </c>
      <c r="S2" s="184"/>
      <c r="T2" s="185"/>
      <c r="U2" s="14" t="s">
        <v>340</v>
      </c>
      <c r="W2" s="3"/>
      <c r="AA2" s="18"/>
      <c r="AB2" s="18"/>
      <c r="AC2" s="71"/>
    </row>
    <row r="3" spans="1:29" ht="25.5" customHeight="1">
      <c r="A3" s="19" t="s">
        <v>80</v>
      </c>
      <c r="B3" s="19"/>
      <c r="C3" s="19"/>
      <c r="D3" s="2"/>
      <c r="E3" s="9"/>
      <c r="F3" s="20"/>
      <c r="G3" s="9"/>
      <c r="H3" s="4"/>
      <c r="I3" s="4"/>
      <c r="J3" s="4"/>
      <c r="K3" s="4"/>
      <c r="L3" s="4"/>
      <c r="M3" s="4"/>
      <c r="N3" s="21"/>
      <c r="O3" s="4" t="s">
        <v>341</v>
      </c>
      <c r="P3" s="22"/>
      <c r="Q3" s="23"/>
      <c r="R3" s="183" t="s">
        <v>342</v>
      </c>
      <c r="S3" s="184"/>
      <c r="T3" s="185"/>
      <c r="U3" s="24" t="s">
        <v>343</v>
      </c>
      <c r="W3" s="3"/>
      <c r="AA3" s="18"/>
      <c r="AB3" s="18"/>
      <c r="AC3" s="71"/>
    </row>
    <row r="4" spans="1:29" ht="75.75" customHeight="1">
      <c r="A4" s="381" t="s">
        <v>84</v>
      </c>
      <c r="B4" s="381"/>
      <c r="C4" s="381"/>
      <c r="D4" s="381"/>
      <c r="E4" s="9"/>
      <c r="F4" s="9"/>
      <c r="G4" s="9"/>
      <c r="H4" s="25"/>
      <c r="I4" s="25"/>
      <c r="J4" s="4"/>
      <c r="K4" s="4"/>
      <c r="L4" s="4"/>
      <c r="M4" s="4"/>
      <c r="N4" s="26"/>
      <c r="O4" s="4" t="s">
        <v>344</v>
      </c>
      <c r="P4" s="27"/>
      <c r="Q4" s="28"/>
      <c r="R4" s="183" t="s">
        <v>345</v>
      </c>
      <c r="S4" s="184"/>
      <c r="T4" s="185"/>
      <c r="U4" s="24" t="s">
        <v>346</v>
      </c>
      <c r="W4" s="3"/>
      <c r="AA4" s="18"/>
      <c r="AB4" s="18"/>
      <c r="AC4" s="71"/>
    </row>
    <row r="5" spans="1:29" ht="18.75" customHeight="1">
      <c r="A5" s="1" t="s">
        <v>363</v>
      </c>
      <c r="B5" s="1"/>
      <c r="C5" s="1"/>
      <c r="D5" s="2"/>
      <c r="E5" s="29"/>
      <c r="F5" s="29"/>
      <c r="G5" s="29"/>
      <c r="H5" s="4"/>
      <c r="I5" s="4"/>
      <c r="J5" s="4"/>
      <c r="K5" s="4"/>
      <c r="L5" s="4"/>
      <c r="M5" s="4"/>
      <c r="N5" s="6"/>
      <c r="O5" s="6"/>
      <c r="P5" s="30"/>
      <c r="Q5" s="6"/>
      <c r="R5" s="183"/>
      <c r="S5" s="183"/>
      <c r="T5" s="30"/>
      <c r="U5" s="31" t="s">
        <v>348</v>
      </c>
      <c r="W5" s="3"/>
      <c r="AA5" s="32"/>
      <c r="AB5" s="32"/>
      <c r="AC5" s="72"/>
    </row>
    <row r="6" spans="1:29" ht="60.75" customHeight="1">
      <c r="A6" s="33" t="s">
        <v>349</v>
      </c>
      <c r="B6" s="33" t="s">
        <v>350</v>
      </c>
      <c r="C6" s="34" t="s">
        <v>351</v>
      </c>
      <c r="D6" s="34" t="s">
        <v>352</v>
      </c>
      <c r="E6" s="35" t="s">
        <v>353</v>
      </c>
      <c r="F6" s="35" t="s">
        <v>0</v>
      </c>
      <c r="G6" s="35" t="s">
        <v>354</v>
      </c>
      <c r="H6" s="35" t="s">
        <v>355</v>
      </c>
      <c r="I6" s="36" t="s">
        <v>78</v>
      </c>
      <c r="J6" s="37" t="s">
        <v>1</v>
      </c>
      <c r="K6" s="37" t="s">
        <v>2</v>
      </c>
      <c r="L6" s="37" t="s">
        <v>3</v>
      </c>
      <c r="M6" s="37" t="s">
        <v>4</v>
      </c>
      <c r="N6" s="37" t="s">
        <v>5</v>
      </c>
      <c r="O6" s="37" t="s">
        <v>6</v>
      </c>
      <c r="P6" s="37" t="s">
        <v>7</v>
      </c>
      <c r="Q6" s="37" t="s">
        <v>356</v>
      </c>
      <c r="R6" s="181" t="s">
        <v>357</v>
      </c>
      <c r="S6" s="98" t="s">
        <v>8</v>
      </c>
      <c r="T6" s="98" t="s">
        <v>367</v>
      </c>
      <c r="U6" s="38" t="s">
        <v>9</v>
      </c>
      <c r="V6" s="39" t="s">
        <v>358</v>
      </c>
      <c r="W6" s="38" t="s">
        <v>10</v>
      </c>
      <c r="X6" s="38" t="s">
        <v>11</v>
      </c>
      <c r="Y6" s="40" t="s">
        <v>359</v>
      </c>
      <c r="Z6" s="38" t="s">
        <v>360</v>
      </c>
      <c r="AA6" s="38" t="s">
        <v>12</v>
      </c>
      <c r="AB6" s="41" t="s">
        <v>90</v>
      </c>
      <c r="AC6" s="73" t="s">
        <v>361</v>
      </c>
    </row>
    <row r="7" spans="1:29" s="51" customFormat="1" ht="30.2" hidden="1" customHeight="1">
      <c r="A7" s="46" t="s">
        <v>16</v>
      </c>
      <c r="B7" s="74">
        <v>2512044</v>
      </c>
      <c r="C7" s="75">
        <v>70643</v>
      </c>
      <c r="D7" s="46" t="s">
        <v>37</v>
      </c>
      <c r="E7" s="48">
        <v>713951</v>
      </c>
      <c r="F7" s="76" t="s">
        <v>18</v>
      </c>
      <c r="G7" s="46" t="s">
        <v>19</v>
      </c>
      <c r="H7" s="48" t="s">
        <v>88</v>
      </c>
      <c r="I7" s="77">
        <v>4</v>
      </c>
      <c r="J7" s="77">
        <v>51</v>
      </c>
      <c r="K7" s="77">
        <v>86</v>
      </c>
      <c r="L7" s="77">
        <v>78</v>
      </c>
      <c r="M7" s="77">
        <v>46</v>
      </c>
      <c r="N7" s="77">
        <v>5</v>
      </c>
      <c r="O7" s="48"/>
      <c r="P7" s="77">
        <f>SUM(I7:O7)</f>
        <v>270</v>
      </c>
      <c r="Q7" s="48"/>
      <c r="R7" s="104" t="s">
        <v>103</v>
      </c>
      <c r="S7" s="104">
        <v>46127</v>
      </c>
      <c r="T7" s="104">
        <v>46127</v>
      </c>
      <c r="U7" s="48" t="s">
        <v>373</v>
      </c>
      <c r="V7" s="48" t="s">
        <v>105</v>
      </c>
      <c r="W7" s="48" t="s">
        <v>38</v>
      </c>
      <c r="X7" s="78"/>
      <c r="Y7" s="46" t="s">
        <v>244</v>
      </c>
      <c r="Z7" s="46" t="s">
        <v>31</v>
      </c>
      <c r="AA7" s="46" t="s">
        <v>39</v>
      </c>
      <c r="AB7" s="79" t="s">
        <v>89</v>
      </c>
      <c r="AC7" s="80">
        <v>45996</v>
      </c>
    </row>
    <row r="8" spans="1:29" s="51" customFormat="1" ht="30.2" hidden="1" customHeight="1">
      <c r="A8" s="46" t="s">
        <v>16</v>
      </c>
      <c r="B8" s="74">
        <v>2512044</v>
      </c>
      <c r="C8" s="75">
        <v>70643</v>
      </c>
      <c r="D8" s="46" t="s">
        <v>45</v>
      </c>
      <c r="E8" s="48">
        <v>713951</v>
      </c>
      <c r="F8" s="76" t="s">
        <v>18</v>
      </c>
      <c r="G8" s="46" t="s">
        <v>19</v>
      </c>
      <c r="H8" s="48" t="s">
        <v>88</v>
      </c>
      <c r="I8" s="77">
        <v>8</v>
      </c>
      <c r="J8" s="77">
        <v>22</v>
      </c>
      <c r="K8" s="77">
        <v>79</v>
      </c>
      <c r="L8" s="77">
        <v>68</v>
      </c>
      <c r="M8" s="77">
        <v>49</v>
      </c>
      <c r="N8" s="77">
        <v>41</v>
      </c>
      <c r="O8" s="48"/>
      <c r="P8" s="77">
        <f t="shared" ref="P8:P43" si="0">SUM(I8:O8)</f>
        <v>267</v>
      </c>
      <c r="Q8" s="48"/>
      <c r="R8" s="104" t="s">
        <v>103</v>
      </c>
      <c r="S8" s="104">
        <v>46127</v>
      </c>
      <c r="T8" s="104">
        <v>46127</v>
      </c>
      <c r="U8" s="48" t="s">
        <v>373</v>
      </c>
      <c r="V8" s="48" t="s">
        <v>106</v>
      </c>
      <c r="W8" s="48" t="s">
        <v>46</v>
      </c>
      <c r="X8" s="78"/>
      <c r="Y8" s="46" t="s">
        <v>244</v>
      </c>
      <c r="Z8" s="46" t="s">
        <v>31</v>
      </c>
      <c r="AA8" s="46" t="s">
        <v>47</v>
      </c>
      <c r="AB8" s="79" t="s">
        <v>89</v>
      </c>
      <c r="AC8" s="80">
        <v>45996</v>
      </c>
    </row>
    <row r="9" spans="1:29" s="51" customFormat="1" ht="30.2" hidden="1" customHeight="1">
      <c r="A9" s="46" t="s">
        <v>16</v>
      </c>
      <c r="B9" s="74">
        <v>2512044</v>
      </c>
      <c r="C9" s="75">
        <v>70643</v>
      </c>
      <c r="D9" s="46" t="s">
        <v>45</v>
      </c>
      <c r="E9" s="48">
        <v>713951</v>
      </c>
      <c r="F9" s="76" t="s">
        <v>18</v>
      </c>
      <c r="G9" s="46" t="s">
        <v>19</v>
      </c>
      <c r="H9" s="48" t="s">
        <v>88</v>
      </c>
      <c r="I9" s="48"/>
      <c r="J9" s="48"/>
      <c r="K9" s="48"/>
      <c r="L9" s="48"/>
      <c r="M9" s="48"/>
      <c r="N9" s="48"/>
      <c r="O9" s="77">
        <v>5</v>
      </c>
      <c r="P9" s="77">
        <f t="shared" si="0"/>
        <v>5</v>
      </c>
      <c r="Q9" s="48"/>
      <c r="R9" s="104" t="s">
        <v>103</v>
      </c>
      <c r="S9" s="104">
        <v>46127</v>
      </c>
      <c r="T9" s="104">
        <v>46127</v>
      </c>
      <c r="U9" s="48" t="s">
        <v>373</v>
      </c>
      <c r="V9" s="48" t="s">
        <v>106</v>
      </c>
      <c r="W9" s="48" t="s">
        <v>46</v>
      </c>
      <c r="X9" s="78"/>
      <c r="Y9" s="46" t="s">
        <v>244</v>
      </c>
      <c r="Z9" s="46" t="s">
        <v>31</v>
      </c>
      <c r="AA9" s="46" t="s">
        <v>47</v>
      </c>
      <c r="AB9" s="79" t="s">
        <v>89</v>
      </c>
      <c r="AC9" s="80">
        <v>45996</v>
      </c>
    </row>
    <row r="10" spans="1:29" s="51" customFormat="1" ht="30.2" hidden="1" customHeight="1">
      <c r="A10" s="46" t="s">
        <v>16</v>
      </c>
      <c r="B10" s="74">
        <v>2512044</v>
      </c>
      <c r="C10" s="75">
        <v>70643</v>
      </c>
      <c r="D10" s="46" t="s">
        <v>96</v>
      </c>
      <c r="E10" s="48">
        <v>713951</v>
      </c>
      <c r="F10" s="76" t="s">
        <v>18</v>
      </c>
      <c r="G10" s="46" t="s">
        <v>19</v>
      </c>
      <c r="H10" s="48" t="s">
        <v>88</v>
      </c>
      <c r="I10" s="48"/>
      <c r="J10" s="77">
        <v>31</v>
      </c>
      <c r="K10" s="77">
        <v>56</v>
      </c>
      <c r="L10" s="77">
        <v>54</v>
      </c>
      <c r="M10" s="77">
        <v>27</v>
      </c>
      <c r="N10" s="77">
        <v>13</v>
      </c>
      <c r="O10" s="48"/>
      <c r="P10" s="77">
        <f t="shared" si="0"/>
        <v>181</v>
      </c>
      <c r="Q10" s="48"/>
      <c r="R10" s="104" t="s">
        <v>103</v>
      </c>
      <c r="S10" s="104">
        <v>46127</v>
      </c>
      <c r="T10" s="104">
        <v>46127</v>
      </c>
      <c r="U10" s="48" t="s">
        <v>373</v>
      </c>
      <c r="V10" s="48" t="s">
        <v>107</v>
      </c>
      <c r="W10" s="48" t="s">
        <v>97</v>
      </c>
      <c r="X10" s="78"/>
      <c r="Y10" s="46" t="s">
        <v>244</v>
      </c>
      <c r="Z10" s="46" t="s">
        <v>98</v>
      </c>
      <c r="AA10" s="46" t="s">
        <v>99</v>
      </c>
      <c r="AB10" s="79" t="s">
        <v>89</v>
      </c>
      <c r="AC10" s="80">
        <v>45996</v>
      </c>
    </row>
    <row r="11" spans="1:29" s="51" customFormat="1" ht="30.2" hidden="1" customHeight="1">
      <c r="A11" s="46" t="s">
        <v>16</v>
      </c>
      <c r="B11" s="74">
        <v>2512044</v>
      </c>
      <c r="C11" s="75">
        <v>70643</v>
      </c>
      <c r="D11" s="46" t="s">
        <v>14</v>
      </c>
      <c r="E11" s="48">
        <v>713951</v>
      </c>
      <c r="F11" s="76" t="s">
        <v>18</v>
      </c>
      <c r="G11" s="46" t="s">
        <v>19</v>
      </c>
      <c r="H11" s="48" t="s">
        <v>88</v>
      </c>
      <c r="I11" s="48"/>
      <c r="J11" s="77">
        <v>4</v>
      </c>
      <c r="K11" s="48"/>
      <c r="L11" s="77">
        <v>1</v>
      </c>
      <c r="M11" s="77">
        <v>11</v>
      </c>
      <c r="N11" s="77">
        <v>9</v>
      </c>
      <c r="O11" s="48"/>
      <c r="P11" s="77">
        <f t="shared" si="0"/>
        <v>25</v>
      </c>
      <c r="Q11" s="48"/>
      <c r="R11" s="104" t="s">
        <v>103</v>
      </c>
      <c r="S11" s="104">
        <v>46127</v>
      </c>
      <c r="T11" s="104">
        <v>46127</v>
      </c>
      <c r="U11" s="48" t="s">
        <v>373</v>
      </c>
      <c r="V11" s="48" t="s">
        <v>108</v>
      </c>
      <c r="W11" s="48" t="s">
        <v>33</v>
      </c>
      <c r="X11" s="78"/>
      <c r="Y11" s="46" t="s">
        <v>244</v>
      </c>
      <c r="Z11" s="46" t="s">
        <v>36</v>
      </c>
      <c r="AA11" s="46" t="s">
        <v>15</v>
      </c>
      <c r="AB11" s="79" t="s">
        <v>89</v>
      </c>
      <c r="AC11" s="80">
        <v>45995</v>
      </c>
    </row>
    <row r="12" spans="1:29" s="51" customFormat="1" ht="30.2" hidden="1" customHeight="1">
      <c r="A12" s="46" t="s">
        <v>16</v>
      </c>
      <c r="B12" s="74">
        <v>2512044</v>
      </c>
      <c r="C12" s="75">
        <v>70643</v>
      </c>
      <c r="D12" s="46" t="s">
        <v>17</v>
      </c>
      <c r="E12" s="48">
        <v>713951</v>
      </c>
      <c r="F12" s="76" t="s">
        <v>18</v>
      </c>
      <c r="G12" s="46" t="s">
        <v>19</v>
      </c>
      <c r="H12" s="48" t="s">
        <v>88</v>
      </c>
      <c r="I12" s="48"/>
      <c r="J12" s="77">
        <v>360</v>
      </c>
      <c r="K12" s="77">
        <v>540</v>
      </c>
      <c r="L12" s="77">
        <v>360</v>
      </c>
      <c r="M12" s="77">
        <v>180</v>
      </c>
      <c r="N12" s="48"/>
      <c r="O12" s="48"/>
      <c r="P12" s="77">
        <f t="shared" si="0"/>
        <v>1440</v>
      </c>
      <c r="Q12" s="48"/>
      <c r="R12" s="104" t="s">
        <v>103</v>
      </c>
      <c r="S12" s="104">
        <v>46127</v>
      </c>
      <c r="T12" s="104">
        <v>46127</v>
      </c>
      <c r="U12" s="48" t="s">
        <v>373</v>
      </c>
      <c r="V12" s="48" t="s">
        <v>109</v>
      </c>
      <c r="W12" s="48" t="s">
        <v>20</v>
      </c>
      <c r="X12" s="78" t="s">
        <v>20</v>
      </c>
      <c r="Y12" s="46" t="s">
        <v>244</v>
      </c>
      <c r="Z12" s="46" t="s">
        <v>21</v>
      </c>
      <c r="AA12" s="46" t="s">
        <v>22</v>
      </c>
      <c r="AB12" s="79" t="s">
        <v>89</v>
      </c>
      <c r="AC12" s="80">
        <v>45996</v>
      </c>
    </row>
    <row r="13" spans="1:29" s="51" customFormat="1" ht="30.2" hidden="1" customHeight="1">
      <c r="A13" s="46" t="s">
        <v>16</v>
      </c>
      <c r="B13" s="74">
        <v>2512044</v>
      </c>
      <c r="C13" s="75">
        <v>70643</v>
      </c>
      <c r="D13" s="46" t="s">
        <v>49</v>
      </c>
      <c r="E13" s="48">
        <v>713951</v>
      </c>
      <c r="F13" s="76" t="s">
        <v>18</v>
      </c>
      <c r="G13" s="46" t="s">
        <v>19</v>
      </c>
      <c r="H13" s="48" t="s">
        <v>88</v>
      </c>
      <c r="I13" s="77">
        <v>5</v>
      </c>
      <c r="J13" s="77">
        <v>20</v>
      </c>
      <c r="K13" s="77">
        <v>39</v>
      </c>
      <c r="L13" s="77">
        <v>36</v>
      </c>
      <c r="M13" s="77">
        <v>19</v>
      </c>
      <c r="N13" s="77">
        <v>8</v>
      </c>
      <c r="O13" s="48"/>
      <c r="P13" s="77">
        <f t="shared" si="0"/>
        <v>127</v>
      </c>
      <c r="Q13" s="48"/>
      <c r="R13" s="104" t="s">
        <v>104</v>
      </c>
      <c r="S13" s="104">
        <v>46132</v>
      </c>
      <c r="T13" s="104">
        <v>46132</v>
      </c>
      <c r="U13" s="48" t="s">
        <v>373</v>
      </c>
      <c r="V13" s="48" t="s">
        <v>110</v>
      </c>
      <c r="W13" s="48" t="s">
        <v>50</v>
      </c>
      <c r="X13" s="78" t="s">
        <v>111</v>
      </c>
      <c r="Y13" s="46" t="s">
        <v>244</v>
      </c>
      <c r="Z13" s="46" t="s">
        <v>31</v>
      </c>
      <c r="AA13" s="46" t="s">
        <v>51</v>
      </c>
      <c r="AB13" s="79" t="s">
        <v>89</v>
      </c>
      <c r="AC13" s="80">
        <v>45996</v>
      </c>
    </row>
    <row r="14" spans="1:29" s="51" customFormat="1" ht="30.2" hidden="1" customHeight="1">
      <c r="A14" s="46" t="s">
        <v>16</v>
      </c>
      <c r="B14" s="74">
        <v>2512044</v>
      </c>
      <c r="C14" s="75">
        <v>70643</v>
      </c>
      <c r="D14" s="46" t="s">
        <v>41</v>
      </c>
      <c r="E14" s="48">
        <v>713951</v>
      </c>
      <c r="F14" s="76" t="s">
        <v>18</v>
      </c>
      <c r="G14" s="46" t="s">
        <v>19</v>
      </c>
      <c r="H14" s="48" t="s">
        <v>88</v>
      </c>
      <c r="I14" s="77">
        <v>2</v>
      </c>
      <c r="J14" s="77">
        <v>22</v>
      </c>
      <c r="K14" s="77">
        <v>39</v>
      </c>
      <c r="L14" s="77">
        <v>34</v>
      </c>
      <c r="M14" s="77">
        <v>20</v>
      </c>
      <c r="N14" s="77">
        <v>6</v>
      </c>
      <c r="O14" s="48"/>
      <c r="P14" s="77">
        <f t="shared" si="0"/>
        <v>123</v>
      </c>
      <c r="Q14" s="48"/>
      <c r="R14" s="104" t="s">
        <v>112</v>
      </c>
      <c r="S14" s="104">
        <v>46178</v>
      </c>
      <c r="T14" s="104">
        <v>46178</v>
      </c>
      <c r="U14" s="48" t="s">
        <v>373</v>
      </c>
      <c r="V14" s="48" t="s">
        <v>113</v>
      </c>
      <c r="W14" s="48" t="s">
        <v>42</v>
      </c>
      <c r="X14" s="78" t="s">
        <v>42</v>
      </c>
      <c r="Y14" s="46" t="s">
        <v>244</v>
      </c>
      <c r="Z14" s="46" t="s">
        <v>43</v>
      </c>
      <c r="AA14" s="46" t="s">
        <v>44</v>
      </c>
      <c r="AB14" s="79" t="s">
        <v>89</v>
      </c>
      <c r="AC14" s="80">
        <v>45996</v>
      </c>
    </row>
    <row r="15" spans="1:29" s="51" customFormat="1" ht="30.2" hidden="1" customHeight="1">
      <c r="A15" s="46" t="s">
        <v>16</v>
      </c>
      <c r="B15" s="74">
        <v>2512044</v>
      </c>
      <c r="C15" s="75">
        <v>70643</v>
      </c>
      <c r="D15" s="46" t="s">
        <v>114</v>
      </c>
      <c r="E15" s="48">
        <v>713951</v>
      </c>
      <c r="F15" s="76" t="s">
        <v>18</v>
      </c>
      <c r="G15" s="46" t="s">
        <v>19</v>
      </c>
      <c r="H15" s="48" t="s">
        <v>88</v>
      </c>
      <c r="I15" s="48"/>
      <c r="J15" s="77">
        <v>2</v>
      </c>
      <c r="K15" s="77">
        <v>19</v>
      </c>
      <c r="L15" s="77">
        <v>54</v>
      </c>
      <c r="M15" s="77">
        <v>42</v>
      </c>
      <c r="N15" s="77">
        <v>25</v>
      </c>
      <c r="O15" s="48"/>
      <c r="P15" s="77">
        <f t="shared" si="0"/>
        <v>142</v>
      </c>
      <c r="Q15" s="48"/>
      <c r="R15" s="104">
        <v>46147</v>
      </c>
      <c r="S15" s="104">
        <v>46152</v>
      </c>
      <c r="T15" s="104">
        <v>46152</v>
      </c>
      <c r="U15" s="48" t="s">
        <v>373</v>
      </c>
      <c r="V15" s="48" t="s">
        <v>116</v>
      </c>
      <c r="W15" s="48" t="s">
        <v>117</v>
      </c>
      <c r="X15" s="78"/>
      <c r="Y15" s="46" t="s">
        <v>244</v>
      </c>
      <c r="Z15" s="46" t="s">
        <v>118</v>
      </c>
      <c r="AA15" s="46" t="s">
        <v>119</v>
      </c>
      <c r="AB15" s="79" t="s">
        <v>89</v>
      </c>
      <c r="AC15" s="80">
        <v>45996</v>
      </c>
    </row>
    <row r="16" spans="1:29" s="51" customFormat="1" ht="30.2" hidden="1" customHeight="1">
      <c r="A16" s="46" t="s">
        <v>16</v>
      </c>
      <c r="B16" s="74">
        <v>2512044</v>
      </c>
      <c r="C16" s="75">
        <v>70643</v>
      </c>
      <c r="D16" s="46" t="s">
        <v>14</v>
      </c>
      <c r="E16" s="48">
        <v>713951</v>
      </c>
      <c r="F16" s="76" t="s">
        <v>18</v>
      </c>
      <c r="G16" s="46" t="s">
        <v>19</v>
      </c>
      <c r="H16" s="48" t="s">
        <v>88</v>
      </c>
      <c r="I16" s="48"/>
      <c r="J16" s="77">
        <v>80</v>
      </c>
      <c r="K16" s="77">
        <v>155</v>
      </c>
      <c r="L16" s="77">
        <v>155</v>
      </c>
      <c r="M16" s="77">
        <v>75</v>
      </c>
      <c r="N16" s="77">
        <v>35</v>
      </c>
      <c r="O16" s="48"/>
      <c r="P16" s="77">
        <f t="shared" si="0"/>
        <v>500</v>
      </c>
      <c r="Q16" s="48"/>
      <c r="R16" s="104" t="s">
        <v>103</v>
      </c>
      <c r="S16" s="104">
        <v>46127</v>
      </c>
      <c r="T16" s="104">
        <v>46127</v>
      </c>
      <c r="U16" s="48" t="s">
        <v>373</v>
      </c>
      <c r="V16" s="48" t="s">
        <v>120</v>
      </c>
      <c r="W16" s="48" t="s">
        <v>33</v>
      </c>
      <c r="X16" s="78" t="s">
        <v>34</v>
      </c>
      <c r="Y16" s="46" t="s">
        <v>244</v>
      </c>
      <c r="Z16" s="46" t="s">
        <v>35</v>
      </c>
      <c r="AA16" s="46" t="s">
        <v>15</v>
      </c>
      <c r="AB16" s="79" t="s">
        <v>89</v>
      </c>
      <c r="AC16" s="80">
        <v>45995</v>
      </c>
    </row>
    <row r="17" spans="1:30" s="51" customFormat="1" ht="30.2" hidden="1" customHeight="1">
      <c r="A17" s="46" t="s">
        <v>16</v>
      </c>
      <c r="B17" s="74">
        <v>2512044</v>
      </c>
      <c r="C17" s="75">
        <v>70643</v>
      </c>
      <c r="D17" s="46" t="s">
        <v>56</v>
      </c>
      <c r="E17" s="48">
        <v>713951</v>
      </c>
      <c r="F17" s="76" t="s">
        <v>18</v>
      </c>
      <c r="G17" s="46" t="s">
        <v>19</v>
      </c>
      <c r="H17" s="48" t="s">
        <v>88</v>
      </c>
      <c r="I17" s="48"/>
      <c r="J17" s="77">
        <v>26</v>
      </c>
      <c r="K17" s="77">
        <v>36</v>
      </c>
      <c r="L17" s="77">
        <v>28</v>
      </c>
      <c r="M17" s="77">
        <v>12</v>
      </c>
      <c r="N17" s="77">
        <v>3</v>
      </c>
      <c r="O17" s="48"/>
      <c r="P17" s="77">
        <f t="shared" si="0"/>
        <v>105</v>
      </c>
      <c r="Q17" s="48"/>
      <c r="R17" s="104" t="s">
        <v>115</v>
      </c>
      <c r="S17" s="104">
        <v>46157</v>
      </c>
      <c r="T17" s="104">
        <v>46157</v>
      </c>
      <c r="U17" s="48" t="s">
        <v>373</v>
      </c>
      <c r="V17" s="48" t="s">
        <v>122</v>
      </c>
      <c r="W17" s="48" t="s">
        <v>57</v>
      </c>
      <c r="X17" s="78"/>
      <c r="Y17" s="46" t="s">
        <v>244</v>
      </c>
      <c r="Z17" s="46" t="s">
        <v>48</v>
      </c>
      <c r="AA17" s="46" t="s">
        <v>58</v>
      </c>
      <c r="AB17" s="79" t="s">
        <v>89</v>
      </c>
      <c r="AC17" s="80">
        <v>45996</v>
      </c>
    </row>
    <row r="18" spans="1:30" s="51" customFormat="1" ht="30.2" hidden="1" customHeight="1">
      <c r="A18" s="46" t="s">
        <v>16</v>
      </c>
      <c r="B18" s="74">
        <v>2512044</v>
      </c>
      <c r="C18" s="75">
        <v>70643</v>
      </c>
      <c r="D18" s="46" t="s">
        <v>59</v>
      </c>
      <c r="E18" s="48">
        <v>713951</v>
      </c>
      <c r="F18" s="76" t="s">
        <v>18</v>
      </c>
      <c r="G18" s="46" t="s">
        <v>19</v>
      </c>
      <c r="H18" s="48" t="s">
        <v>88</v>
      </c>
      <c r="I18" s="77">
        <v>1</v>
      </c>
      <c r="J18" s="77">
        <v>9</v>
      </c>
      <c r="K18" s="77">
        <v>16</v>
      </c>
      <c r="L18" s="77">
        <v>13</v>
      </c>
      <c r="M18" s="77">
        <v>8</v>
      </c>
      <c r="N18" s="77">
        <v>3</v>
      </c>
      <c r="O18" s="48"/>
      <c r="P18" s="77">
        <f t="shared" si="0"/>
        <v>50</v>
      </c>
      <c r="Q18" s="48"/>
      <c r="R18" s="104" t="s">
        <v>103</v>
      </c>
      <c r="S18" s="104">
        <v>46127</v>
      </c>
      <c r="T18" s="104">
        <v>46127</v>
      </c>
      <c r="U18" s="48" t="s">
        <v>373</v>
      </c>
      <c r="V18" s="48" t="s">
        <v>123</v>
      </c>
      <c r="W18" s="48" t="s">
        <v>60</v>
      </c>
      <c r="X18" s="78" t="s">
        <v>60</v>
      </c>
      <c r="Y18" s="46" t="s">
        <v>244</v>
      </c>
      <c r="Z18" s="46" t="s">
        <v>61</v>
      </c>
      <c r="AA18" s="46" t="s">
        <v>62</v>
      </c>
      <c r="AB18" s="79" t="s">
        <v>89</v>
      </c>
      <c r="AC18" s="80">
        <v>45996</v>
      </c>
    </row>
    <row r="19" spans="1:30" s="51" customFormat="1" ht="40.5" hidden="1">
      <c r="A19" s="46" t="s">
        <v>16</v>
      </c>
      <c r="B19" s="74">
        <v>2512044</v>
      </c>
      <c r="C19" s="75">
        <v>70643</v>
      </c>
      <c r="D19" s="46" t="s">
        <v>124</v>
      </c>
      <c r="E19" s="48" t="s">
        <v>398</v>
      </c>
      <c r="F19" s="76" t="s">
        <v>18</v>
      </c>
      <c r="G19" s="46" t="s">
        <v>19</v>
      </c>
      <c r="H19" s="48" t="s">
        <v>88</v>
      </c>
      <c r="I19" s="48"/>
      <c r="J19" s="77">
        <v>16</v>
      </c>
      <c r="K19" s="77">
        <v>18</v>
      </c>
      <c r="L19" s="77">
        <v>13</v>
      </c>
      <c r="M19" s="77">
        <v>7</v>
      </c>
      <c r="N19" s="48"/>
      <c r="O19" s="48"/>
      <c r="P19" s="77">
        <f t="shared" si="0"/>
        <v>54</v>
      </c>
      <c r="Q19" s="48"/>
      <c r="R19" s="104">
        <v>46136</v>
      </c>
      <c r="S19" s="168" t="s">
        <v>394</v>
      </c>
      <c r="T19" s="104">
        <v>46141</v>
      </c>
      <c r="U19" s="48" t="s">
        <v>373</v>
      </c>
      <c r="V19" s="48" t="s">
        <v>127</v>
      </c>
      <c r="W19" s="48" t="s">
        <v>28</v>
      </c>
      <c r="X19" s="78" t="s">
        <v>128</v>
      </c>
      <c r="Y19" s="46" t="s">
        <v>244</v>
      </c>
      <c r="Z19" s="46" t="s">
        <v>129</v>
      </c>
      <c r="AA19" s="46" t="s">
        <v>130</v>
      </c>
      <c r="AB19" s="79" t="s">
        <v>89</v>
      </c>
      <c r="AC19" s="80">
        <v>45996</v>
      </c>
      <c r="AD19" s="102" t="s">
        <v>397</v>
      </c>
    </row>
    <row r="20" spans="1:30" s="51" customFormat="1" ht="30.2" hidden="1" customHeight="1">
      <c r="A20" s="46" t="s">
        <v>16</v>
      </c>
      <c r="B20" s="74">
        <v>2512044</v>
      </c>
      <c r="C20" s="75">
        <v>70643</v>
      </c>
      <c r="D20" s="46" t="s">
        <v>14</v>
      </c>
      <c r="E20" s="48">
        <v>713951</v>
      </c>
      <c r="F20" s="76" t="s">
        <v>18</v>
      </c>
      <c r="G20" s="46" t="s">
        <v>19</v>
      </c>
      <c r="H20" s="48" t="s">
        <v>88</v>
      </c>
      <c r="I20" s="48"/>
      <c r="J20" s="77">
        <v>39</v>
      </c>
      <c r="K20" s="77">
        <v>76</v>
      </c>
      <c r="L20" s="77">
        <v>76</v>
      </c>
      <c r="M20" s="77">
        <v>37</v>
      </c>
      <c r="N20" s="77">
        <v>17</v>
      </c>
      <c r="O20" s="48"/>
      <c r="P20" s="77">
        <f t="shared" si="0"/>
        <v>245</v>
      </c>
      <c r="Q20" s="48"/>
      <c r="R20" s="104">
        <v>46122</v>
      </c>
      <c r="S20" s="104">
        <v>46127</v>
      </c>
      <c r="T20" s="104">
        <v>46127</v>
      </c>
      <c r="U20" s="48" t="s">
        <v>373</v>
      </c>
      <c r="V20" s="48" t="s">
        <v>131</v>
      </c>
      <c r="W20" s="48" t="s">
        <v>33</v>
      </c>
      <c r="X20" s="78" t="s">
        <v>34</v>
      </c>
      <c r="Y20" s="46" t="s">
        <v>244</v>
      </c>
      <c r="Z20" s="46" t="s">
        <v>35</v>
      </c>
      <c r="AA20" s="46" t="s">
        <v>15</v>
      </c>
      <c r="AB20" s="79" t="s">
        <v>89</v>
      </c>
      <c r="AC20" s="80">
        <v>45995</v>
      </c>
    </row>
    <row r="21" spans="1:30" s="51" customFormat="1" ht="30.2" hidden="1" customHeight="1">
      <c r="A21" s="46" t="s">
        <v>16</v>
      </c>
      <c r="B21" s="74">
        <v>2512044</v>
      </c>
      <c r="C21" s="75">
        <v>70643</v>
      </c>
      <c r="D21" s="46" t="s">
        <v>49</v>
      </c>
      <c r="E21" s="48">
        <v>713951</v>
      </c>
      <c r="F21" s="76" t="s">
        <v>18</v>
      </c>
      <c r="G21" s="46" t="s">
        <v>19</v>
      </c>
      <c r="H21" s="48" t="s">
        <v>88</v>
      </c>
      <c r="I21" s="48"/>
      <c r="J21" s="48"/>
      <c r="K21" s="48"/>
      <c r="L21" s="48"/>
      <c r="M21" s="48"/>
      <c r="N21" s="48"/>
      <c r="O21" s="77">
        <v>5</v>
      </c>
      <c r="P21" s="77">
        <f t="shared" si="0"/>
        <v>5</v>
      </c>
      <c r="Q21" s="48"/>
      <c r="R21" s="104">
        <v>46127</v>
      </c>
      <c r="S21" s="104">
        <v>46132</v>
      </c>
      <c r="T21" s="104">
        <v>46132</v>
      </c>
      <c r="U21" s="48" t="s">
        <v>373</v>
      </c>
      <c r="V21" s="48" t="s">
        <v>132</v>
      </c>
      <c r="W21" s="48" t="s">
        <v>50</v>
      </c>
      <c r="X21" s="78" t="s">
        <v>50</v>
      </c>
      <c r="Y21" s="46" t="s">
        <v>244</v>
      </c>
      <c r="Z21" s="46" t="s">
        <v>31</v>
      </c>
      <c r="AA21" s="46" t="s">
        <v>51</v>
      </c>
      <c r="AB21" s="79" t="s">
        <v>89</v>
      </c>
      <c r="AC21" s="80">
        <v>45996</v>
      </c>
    </row>
    <row r="22" spans="1:30" s="51" customFormat="1" ht="30.2" hidden="1" customHeight="1">
      <c r="A22" s="46" t="s">
        <v>16</v>
      </c>
      <c r="B22" s="74">
        <v>2512044</v>
      </c>
      <c r="C22" s="75">
        <v>70643</v>
      </c>
      <c r="D22" s="46" t="s">
        <v>49</v>
      </c>
      <c r="E22" s="48">
        <v>713951</v>
      </c>
      <c r="F22" s="76" t="s">
        <v>18</v>
      </c>
      <c r="G22" s="46" t="s">
        <v>19</v>
      </c>
      <c r="H22" s="48" t="s">
        <v>88</v>
      </c>
      <c r="I22" s="77">
        <v>12</v>
      </c>
      <c r="J22" s="77">
        <v>18</v>
      </c>
      <c r="K22" s="77">
        <v>30</v>
      </c>
      <c r="L22" s="77">
        <v>31</v>
      </c>
      <c r="M22" s="77">
        <v>24</v>
      </c>
      <c r="N22" s="77">
        <v>14</v>
      </c>
      <c r="O22" s="48"/>
      <c r="P22" s="77">
        <f t="shared" si="0"/>
        <v>129</v>
      </c>
      <c r="Q22" s="48"/>
      <c r="R22" s="104">
        <v>46127</v>
      </c>
      <c r="S22" s="104">
        <v>46132</v>
      </c>
      <c r="T22" s="104">
        <v>46132</v>
      </c>
      <c r="U22" s="48" t="s">
        <v>373</v>
      </c>
      <c r="V22" s="48" t="s">
        <v>132</v>
      </c>
      <c r="W22" s="48" t="s">
        <v>50</v>
      </c>
      <c r="X22" s="78" t="s">
        <v>50</v>
      </c>
      <c r="Y22" s="46" t="s">
        <v>244</v>
      </c>
      <c r="Z22" s="46" t="s">
        <v>31</v>
      </c>
      <c r="AA22" s="46" t="s">
        <v>51</v>
      </c>
      <c r="AB22" s="79" t="s">
        <v>89</v>
      </c>
      <c r="AC22" s="80">
        <v>45996</v>
      </c>
    </row>
    <row r="23" spans="1:30" s="51" customFormat="1" ht="30.2" hidden="1" customHeight="1">
      <c r="A23" s="46" t="s">
        <v>16</v>
      </c>
      <c r="B23" s="74">
        <v>2512044</v>
      </c>
      <c r="C23" s="75">
        <v>70643</v>
      </c>
      <c r="D23" s="46" t="s">
        <v>23</v>
      </c>
      <c r="E23" s="48">
        <v>713951</v>
      </c>
      <c r="F23" s="76" t="s">
        <v>18</v>
      </c>
      <c r="G23" s="46" t="s">
        <v>19</v>
      </c>
      <c r="H23" s="48" t="s">
        <v>88</v>
      </c>
      <c r="I23" s="48"/>
      <c r="J23" s="77">
        <v>11</v>
      </c>
      <c r="K23" s="77">
        <v>13</v>
      </c>
      <c r="L23" s="77">
        <v>15</v>
      </c>
      <c r="M23" s="77">
        <v>10</v>
      </c>
      <c r="N23" s="77">
        <v>7</v>
      </c>
      <c r="O23" s="48"/>
      <c r="P23" s="77">
        <f t="shared" si="0"/>
        <v>56</v>
      </c>
      <c r="Q23" s="48"/>
      <c r="R23" s="104">
        <v>46122</v>
      </c>
      <c r="S23" s="104">
        <v>46127</v>
      </c>
      <c r="T23" s="104">
        <v>46127</v>
      </c>
      <c r="U23" s="48" t="s">
        <v>373</v>
      </c>
      <c r="V23" s="48" t="s">
        <v>133</v>
      </c>
      <c r="W23" s="48" t="s">
        <v>24</v>
      </c>
      <c r="X23" s="78" t="s">
        <v>25</v>
      </c>
      <c r="Y23" s="46" t="s">
        <v>244</v>
      </c>
      <c r="Z23" s="46" t="s">
        <v>26</v>
      </c>
      <c r="AA23" s="46" t="s">
        <v>27</v>
      </c>
      <c r="AB23" s="79" t="s">
        <v>89</v>
      </c>
      <c r="AC23" s="80">
        <v>45996</v>
      </c>
    </row>
    <row r="24" spans="1:30" s="51" customFormat="1" ht="30.2" hidden="1" customHeight="1">
      <c r="A24" s="46" t="s">
        <v>16</v>
      </c>
      <c r="B24" s="74">
        <v>2512044</v>
      </c>
      <c r="C24" s="75">
        <v>70643</v>
      </c>
      <c r="D24" s="46" t="s">
        <v>70</v>
      </c>
      <c r="E24" s="48">
        <v>713951</v>
      </c>
      <c r="F24" s="76" t="s">
        <v>18</v>
      </c>
      <c r="G24" s="46" t="s">
        <v>19</v>
      </c>
      <c r="H24" s="48" t="s">
        <v>88</v>
      </c>
      <c r="I24" s="48"/>
      <c r="J24" s="77">
        <v>36</v>
      </c>
      <c r="K24" s="77">
        <v>72</v>
      </c>
      <c r="L24" s="77">
        <v>72</v>
      </c>
      <c r="M24" s="77">
        <v>36</v>
      </c>
      <c r="N24" s="48"/>
      <c r="O24" s="48"/>
      <c r="P24" s="77">
        <f t="shared" si="0"/>
        <v>216</v>
      </c>
      <c r="Q24" s="48"/>
      <c r="R24" s="104">
        <v>46213</v>
      </c>
      <c r="S24" s="104">
        <v>46218</v>
      </c>
      <c r="T24" s="104">
        <v>46218</v>
      </c>
      <c r="U24" s="48" t="s">
        <v>373</v>
      </c>
      <c r="V24" s="48" t="s">
        <v>134</v>
      </c>
      <c r="W24" s="48" t="s">
        <v>28</v>
      </c>
      <c r="X24" s="78" t="s">
        <v>71</v>
      </c>
      <c r="Y24" s="46" t="s">
        <v>244</v>
      </c>
      <c r="Z24" s="46" t="s">
        <v>72</v>
      </c>
      <c r="AA24" s="46" t="s">
        <v>73</v>
      </c>
      <c r="AB24" s="79" t="s">
        <v>89</v>
      </c>
      <c r="AC24" s="80">
        <v>45996</v>
      </c>
    </row>
    <row r="25" spans="1:30" s="51" customFormat="1" ht="30.2" hidden="1" customHeight="1">
      <c r="A25" s="46" t="s">
        <v>16</v>
      </c>
      <c r="B25" s="74">
        <v>2512044</v>
      </c>
      <c r="C25" s="75">
        <v>70643</v>
      </c>
      <c r="D25" s="46" t="s">
        <v>17</v>
      </c>
      <c r="E25" s="48">
        <v>713951</v>
      </c>
      <c r="F25" s="76" t="s">
        <v>18</v>
      </c>
      <c r="G25" s="46" t="s">
        <v>19</v>
      </c>
      <c r="H25" s="48" t="s">
        <v>88</v>
      </c>
      <c r="I25" s="48"/>
      <c r="J25" s="77">
        <v>40</v>
      </c>
      <c r="K25" s="77">
        <v>80</v>
      </c>
      <c r="L25" s="77">
        <v>80</v>
      </c>
      <c r="M25" s="77">
        <v>40</v>
      </c>
      <c r="N25" s="48"/>
      <c r="O25" s="48"/>
      <c r="P25" s="77">
        <f t="shared" si="0"/>
        <v>240</v>
      </c>
      <c r="Q25" s="48"/>
      <c r="R25" s="104">
        <v>46152</v>
      </c>
      <c r="S25" s="104">
        <v>46157</v>
      </c>
      <c r="T25" s="104">
        <v>46157</v>
      </c>
      <c r="U25" s="48" t="s">
        <v>373</v>
      </c>
      <c r="V25" s="48" t="s">
        <v>135</v>
      </c>
      <c r="W25" s="48" t="s">
        <v>20</v>
      </c>
      <c r="X25" s="78" t="s">
        <v>20</v>
      </c>
      <c r="Y25" s="46" t="s">
        <v>244</v>
      </c>
      <c r="Z25" s="46" t="s">
        <v>21</v>
      </c>
      <c r="AA25" s="46" t="s">
        <v>22</v>
      </c>
      <c r="AB25" s="79" t="s">
        <v>89</v>
      </c>
      <c r="AC25" s="80">
        <v>45996</v>
      </c>
    </row>
    <row r="26" spans="1:30" s="51" customFormat="1" ht="30.2" hidden="1" customHeight="1">
      <c r="A26" s="46" t="s">
        <v>16</v>
      </c>
      <c r="B26" s="74">
        <v>2512044</v>
      </c>
      <c r="C26" s="75">
        <v>70643</v>
      </c>
      <c r="D26" s="46" t="s">
        <v>53</v>
      </c>
      <c r="E26" s="48">
        <v>713951</v>
      </c>
      <c r="F26" s="76" t="s">
        <v>18</v>
      </c>
      <c r="G26" s="46" t="s">
        <v>19</v>
      </c>
      <c r="H26" s="48" t="s">
        <v>88</v>
      </c>
      <c r="I26" s="48"/>
      <c r="J26" s="77">
        <v>12</v>
      </c>
      <c r="K26" s="77">
        <v>12</v>
      </c>
      <c r="L26" s="77">
        <v>12</v>
      </c>
      <c r="M26" s="77">
        <v>12</v>
      </c>
      <c r="N26" s="77">
        <v>6</v>
      </c>
      <c r="O26" s="48"/>
      <c r="P26" s="77">
        <f t="shared" si="0"/>
        <v>54</v>
      </c>
      <c r="Q26" s="48"/>
      <c r="R26" s="104">
        <v>46122</v>
      </c>
      <c r="S26" s="104">
        <v>46127</v>
      </c>
      <c r="T26" s="104">
        <v>46127</v>
      </c>
      <c r="U26" s="48" t="s">
        <v>373</v>
      </c>
      <c r="V26" s="48" t="s">
        <v>136</v>
      </c>
      <c r="W26" s="48" t="s">
        <v>28</v>
      </c>
      <c r="X26" s="78" t="s">
        <v>54</v>
      </c>
      <c r="Y26" s="46" t="s">
        <v>244</v>
      </c>
      <c r="Z26" s="46" t="s">
        <v>26</v>
      </c>
      <c r="AA26" s="46" t="s">
        <v>55</v>
      </c>
      <c r="AB26" s="79" t="s">
        <v>89</v>
      </c>
      <c r="AC26" s="80">
        <v>45996</v>
      </c>
    </row>
    <row r="27" spans="1:30" s="51" customFormat="1" ht="30.2" hidden="1" customHeight="1">
      <c r="A27" s="46" t="s">
        <v>16</v>
      </c>
      <c r="B27" s="74">
        <v>2512044</v>
      </c>
      <c r="C27" s="75">
        <v>70643</v>
      </c>
      <c r="D27" s="46" t="s">
        <v>236</v>
      </c>
      <c r="E27" s="48">
        <v>713951</v>
      </c>
      <c r="F27" s="76" t="s">
        <v>18</v>
      </c>
      <c r="G27" s="46" t="s">
        <v>19</v>
      </c>
      <c r="H27" s="48" t="s">
        <v>88</v>
      </c>
      <c r="I27" s="77">
        <v>2</v>
      </c>
      <c r="J27" s="77">
        <v>20</v>
      </c>
      <c r="K27" s="77">
        <v>36</v>
      </c>
      <c r="L27" s="77">
        <v>31</v>
      </c>
      <c r="M27" s="77">
        <v>18</v>
      </c>
      <c r="N27" s="77">
        <v>6</v>
      </c>
      <c r="O27" s="48"/>
      <c r="P27" s="77">
        <f t="shared" si="0"/>
        <v>113</v>
      </c>
      <c r="Q27" s="48"/>
      <c r="R27" s="104" t="s">
        <v>137</v>
      </c>
      <c r="S27" s="104">
        <v>46172</v>
      </c>
      <c r="T27" s="104">
        <v>46172</v>
      </c>
      <c r="U27" s="48" t="s">
        <v>373</v>
      </c>
      <c r="V27" s="48" t="s">
        <v>138</v>
      </c>
      <c r="W27" s="48" t="s">
        <v>139</v>
      </c>
      <c r="X27" s="78" t="s">
        <v>139</v>
      </c>
      <c r="Y27" s="46" t="s">
        <v>244</v>
      </c>
      <c r="Z27" s="46" t="s">
        <v>52</v>
      </c>
      <c r="AA27" s="46"/>
      <c r="AB27" s="79" t="s">
        <v>89</v>
      </c>
      <c r="AC27" s="80">
        <v>45996</v>
      </c>
    </row>
    <row r="28" spans="1:30" s="51" customFormat="1" ht="30.2" hidden="1" customHeight="1">
      <c r="A28" s="46" t="s">
        <v>16</v>
      </c>
      <c r="B28" s="74">
        <v>2512044</v>
      </c>
      <c r="C28" s="75">
        <v>70643</v>
      </c>
      <c r="D28" s="46" t="s">
        <v>45</v>
      </c>
      <c r="E28" s="48">
        <v>713951</v>
      </c>
      <c r="F28" s="76" t="s">
        <v>18</v>
      </c>
      <c r="G28" s="46" t="s">
        <v>19</v>
      </c>
      <c r="H28" s="48" t="s">
        <v>88</v>
      </c>
      <c r="I28" s="77">
        <v>5</v>
      </c>
      <c r="J28" s="77">
        <v>14</v>
      </c>
      <c r="K28" s="77">
        <v>53</v>
      </c>
      <c r="L28" s="77">
        <v>45</v>
      </c>
      <c r="M28" s="77">
        <v>32</v>
      </c>
      <c r="N28" s="77">
        <v>27</v>
      </c>
      <c r="O28" s="48"/>
      <c r="P28" s="77">
        <f t="shared" si="0"/>
        <v>176</v>
      </c>
      <c r="Q28" s="48"/>
      <c r="R28" s="104">
        <v>46157</v>
      </c>
      <c r="S28" s="104">
        <v>46162</v>
      </c>
      <c r="T28" s="104">
        <v>46162</v>
      </c>
      <c r="U28" s="48" t="s">
        <v>373</v>
      </c>
      <c r="V28" s="48" t="s">
        <v>140</v>
      </c>
      <c r="W28" s="48" t="s">
        <v>46</v>
      </c>
      <c r="X28" s="78"/>
      <c r="Y28" s="46" t="s">
        <v>244</v>
      </c>
      <c r="Z28" s="46" t="s">
        <v>31</v>
      </c>
      <c r="AA28" s="46" t="s">
        <v>47</v>
      </c>
      <c r="AB28" s="79" t="s">
        <v>89</v>
      </c>
      <c r="AC28" s="80">
        <v>45996</v>
      </c>
    </row>
    <row r="29" spans="1:30" s="51" customFormat="1" ht="30.2" hidden="1" customHeight="1">
      <c r="A29" s="46" t="s">
        <v>16</v>
      </c>
      <c r="B29" s="74">
        <v>2512044</v>
      </c>
      <c r="C29" s="75">
        <v>70643</v>
      </c>
      <c r="D29" s="46" t="s">
        <v>45</v>
      </c>
      <c r="E29" s="48">
        <v>713951</v>
      </c>
      <c r="F29" s="76" t="s">
        <v>18</v>
      </c>
      <c r="G29" s="46" t="s">
        <v>19</v>
      </c>
      <c r="H29" s="48" t="s">
        <v>88</v>
      </c>
      <c r="I29" s="48"/>
      <c r="J29" s="48"/>
      <c r="K29" s="48"/>
      <c r="L29" s="48"/>
      <c r="M29" s="48"/>
      <c r="N29" s="48"/>
      <c r="O29" s="77">
        <v>4</v>
      </c>
      <c r="P29" s="77">
        <f t="shared" si="0"/>
        <v>4</v>
      </c>
      <c r="Q29" s="48"/>
      <c r="R29" s="104">
        <v>46157</v>
      </c>
      <c r="S29" s="104">
        <v>46162</v>
      </c>
      <c r="T29" s="104">
        <v>46162</v>
      </c>
      <c r="U29" s="48" t="s">
        <v>373</v>
      </c>
      <c r="V29" s="48" t="s">
        <v>140</v>
      </c>
      <c r="W29" s="48" t="s">
        <v>46</v>
      </c>
      <c r="X29" s="78"/>
      <c r="Y29" s="46" t="s">
        <v>244</v>
      </c>
      <c r="Z29" s="46" t="s">
        <v>31</v>
      </c>
      <c r="AA29" s="46" t="s">
        <v>47</v>
      </c>
      <c r="AB29" s="79" t="s">
        <v>89</v>
      </c>
      <c r="AC29" s="80">
        <v>45996</v>
      </c>
    </row>
    <row r="30" spans="1:30" s="51" customFormat="1" ht="30.2" hidden="1" customHeight="1">
      <c r="A30" s="46" t="s">
        <v>16</v>
      </c>
      <c r="B30" s="74">
        <v>2512044</v>
      </c>
      <c r="C30" s="75">
        <v>70643</v>
      </c>
      <c r="D30" s="46" t="s">
        <v>74</v>
      </c>
      <c r="E30" s="48">
        <v>713951</v>
      </c>
      <c r="F30" s="76" t="s">
        <v>18</v>
      </c>
      <c r="G30" s="46" t="s">
        <v>19</v>
      </c>
      <c r="H30" s="48" t="s">
        <v>88</v>
      </c>
      <c r="I30" s="77">
        <v>20</v>
      </c>
      <c r="J30" s="77">
        <v>80</v>
      </c>
      <c r="K30" s="77">
        <v>87</v>
      </c>
      <c r="L30" s="77">
        <v>68</v>
      </c>
      <c r="M30" s="77">
        <v>18</v>
      </c>
      <c r="N30" s="77">
        <v>7</v>
      </c>
      <c r="O30" s="48"/>
      <c r="P30" s="77">
        <f t="shared" si="0"/>
        <v>280</v>
      </c>
      <c r="Q30" s="48"/>
      <c r="R30" s="104">
        <v>46137</v>
      </c>
      <c r="S30" s="104">
        <v>46142</v>
      </c>
      <c r="T30" s="104">
        <v>46142</v>
      </c>
      <c r="U30" s="48" t="s">
        <v>373</v>
      </c>
      <c r="V30" s="48" t="s">
        <v>143</v>
      </c>
      <c r="W30" s="48" t="s">
        <v>75</v>
      </c>
      <c r="X30" s="78"/>
      <c r="Y30" s="46" t="s">
        <v>244</v>
      </c>
      <c r="Z30" s="46" t="s">
        <v>76</v>
      </c>
      <c r="AA30" s="46" t="s">
        <v>77</v>
      </c>
      <c r="AB30" s="79" t="s">
        <v>89</v>
      </c>
      <c r="AC30" s="80">
        <v>45996</v>
      </c>
    </row>
    <row r="31" spans="1:30" s="51" customFormat="1" ht="30.2" hidden="1" customHeight="1">
      <c r="A31" s="46" t="s">
        <v>16</v>
      </c>
      <c r="B31" s="74">
        <v>2512044</v>
      </c>
      <c r="C31" s="75">
        <v>70643</v>
      </c>
      <c r="D31" s="46" t="s">
        <v>144</v>
      </c>
      <c r="E31" s="48">
        <v>713951</v>
      </c>
      <c r="F31" s="76" t="s">
        <v>18</v>
      </c>
      <c r="G31" s="46" t="s">
        <v>19</v>
      </c>
      <c r="H31" s="48" t="s">
        <v>88</v>
      </c>
      <c r="I31" s="48"/>
      <c r="J31" s="77">
        <v>17</v>
      </c>
      <c r="K31" s="77">
        <v>23</v>
      </c>
      <c r="L31" s="77">
        <v>25</v>
      </c>
      <c r="M31" s="77">
        <v>17</v>
      </c>
      <c r="N31" s="77">
        <v>13</v>
      </c>
      <c r="O31" s="48"/>
      <c r="P31" s="77">
        <f t="shared" si="0"/>
        <v>95</v>
      </c>
      <c r="Q31" s="48"/>
      <c r="R31" s="104">
        <v>46152</v>
      </c>
      <c r="S31" s="104">
        <v>46157</v>
      </c>
      <c r="T31" s="104">
        <v>46157</v>
      </c>
      <c r="U31" s="48" t="s">
        <v>373</v>
      </c>
      <c r="V31" s="48" t="s">
        <v>145</v>
      </c>
      <c r="W31" s="48" t="s">
        <v>146</v>
      </c>
      <c r="X31" s="78"/>
      <c r="Y31" s="46" t="s">
        <v>244</v>
      </c>
      <c r="Z31" s="46" t="s">
        <v>48</v>
      </c>
      <c r="AA31" s="46" t="s">
        <v>147</v>
      </c>
      <c r="AB31" s="79" t="s">
        <v>89</v>
      </c>
      <c r="AC31" s="80">
        <v>45996</v>
      </c>
    </row>
    <row r="32" spans="1:30" s="51" customFormat="1" ht="30.2" hidden="1" customHeight="1">
      <c r="A32" s="46" t="s">
        <v>16</v>
      </c>
      <c r="B32" s="74">
        <v>2512044</v>
      </c>
      <c r="C32" s="75">
        <v>70643</v>
      </c>
      <c r="D32" s="46" t="s">
        <v>17</v>
      </c>
      <c r="E32" s="48">
        <v>713951</v>
      </c>
      <c r="F32" s="76" t="s">
        <v>18</v>
      </c>
      <c r="G32" s="46" t="s">
        <v>19</v>
      </c>
      <c r="H32" s="48" t="s">
        <v>88</v>
      </c>
      <c r="I32" s="48"/>
      <c r="J32" s="77">
        <v>12</v>
      </c>
      <c r="K32" s="77">
        <v>18</v>
      </c>
      <c r="L32" s="77">
        <v>12</v>
      </c>
      <c r="M32" s="77">
        <v>6</v>
      </c>
      <c r="N32" s="77">
        <v>6</v>
      </c>
      <c r="O32" s="48"/>
      <c r="P32" s="77">
        <f t="shared" si="0"/>
        <v>54</v>
      </c>
      <c r="Q32" s="48"/>
      <c r="R32" s="104">
        <v>46122</v>
      </c>
      <c r="S32" s="104">
        <v>46127</v>
      </c>
      <c r="T32" s="104">
        <v>46127</v>
      </c>
      <c r="U32" s="48" t="s">
        <v>373</v>
      </c>
      <c r="V32" s="48" t="s">
        <v>148</v>
      </c>
      <c r="W32" s="48" t="s">
        <v>20</v>
      </c>
      <c r="X32" s="78" t="s">
        <v>20</v>
      </c>
      <c r="Y32" s="46" t="s">
        <v>244</v>
      </c>
      <c r="Z32" s="46" t="s">
        <v>21</v>
      </c>
      <c r="AA32" s="46" t="s">
        <v>22</v>
      </c>
      <c r="AB32" s="79" t="s">
        <v>89</v>
      </c>
      <c r="AC32" s="80">
        <v>45996</v>
      </c>
    </row>
    <row r="33" spans="1:30" s="51" customFormat="1" ht="30.2" hidden="1" customHeight="1">
      <c r="A33" s="46" t="s">
        <v>16</v>
      </c>
      <c r="B33" s="74">
        <v>2512044</v>
      </c>
      <c r="C33" s="75">
        <v>70643</v>
      </c>
      <c r="D33" s="46" t="s">
        <v>149</v>
      </c>
      <c r="E33" s="48">
        <v>713951</v>
      </c>
      <c r="F33" s="76" t="s">
        <v>18</v>
      </c>
      <c r="G33" s="46" t="s">
        <v>19</v>
      </c>
      <c r="H33" s="48" t="s">
        <v>88</v>
      </c>
      <c r="I33" s="48"/>
      <c r="J33" s="77">
        <v>14</v>
      </c>
      <c r="K33" s="77">
        <v>28</v>
      </c>
      <c r="L33" s="77">
        <v>21</v>
      </c>
      <c r="M33" s="77">
        <v>7</v>
      </c>
      <c r="N33" s="48"/>
      <c r="O33" s="48"/>
      <c r="P33" s="77">
        <f t="shared" si="0"/>
        <v>70</v>
      </c>
      <c r="Q33" s="48"/>
      <c r="R33" s="104">
        <v>46127</v>
      </c>
      <c r="S33" s="104">
        <v>46132</v>
      </c>
      <c r="T33" s="104">
        <v>46132</v>
      </c>
      <c r="U33" s="48" t="s">
        <v>373</v>
      </c>
      <c r="V33" s="48" t="s">
        <v>150</v>
      </c>
      <c r="W33" s="48" t="s">
        <v>151</v>
      </c>
      <c r="X33" s="78" t="s">
        <v>151</v>
      </c>
      <c r="Y33" s="46" t="s">
        <v>244</v>
      </c>
      <c r="Z33" s="46" t="s">
        <v>26</v>
      </c>
      <c r="AA33" s="46" t="s">
        <v>152</v>
      </c>
      <c r="AB33" s="79" t="s">
        <v>89</v>
      </c>
      <c r="AC33" s="80">
        <v>45996</v>
      </c>
    </row>
    <row r="34" spans="1:30" s="51" customFormat="1" ht="28.5" hidden="1" customHeight="1">
      <c r="A34" s="68" t="s">
        <v>16</v>
      </c>
      <c r="B34" s="54">
        <v>2512083</v>
      </c>
      <c r="C34" s="81">
        <v>70643</v>
      </c>
      <c r="D34" s="58" t="s">
        <v>256</v>
      </c>
      <c r="E34" s="68">
        <v>713951</v>
      </c>
      <c r="F34" s="68">
        <v>1</v>
      </c>
      <c r="G34" s="68" t="s">
        <v>19</v>
      </c>
      <c r="H34" s="60" t="s">
        <v>88</v>
      </c>
      <c r="I34" s="83">
        <v>3</v>
      </c>
      <c r="J34" s="83">
        <v>289</v>
      </c>
      <c r="K34" s="83">
        <v>570</v>
      </c>
      <c r="L34" s="83">
        <v>562</v>
      </c>
      <c r="M34" s="83">
        <v>287</v>
      </c>
      <c r="N34" s="83">
        <v>10</v>
      </c>
      <c r="O34" s="60"/>
      <c r="P34" s="77">
        <f t="shared" si="0"/>
        <v>1721</v>
      </c>
      <c r="Q34" s="60"/>
      <c r="R34" s="186">
        <v>46137</v>
      </c>
      <c r="S34" s="186">
        <v>46142</v>
      </c>
      <c r="T34" s="186">
        <v>46142</v>
      </c>
      <c r="U34" s="48" t="s">
        <v>373</v>
      </c>
      <c r="V34" s="59" t="s">
        <v>269</v>
      </c>
      <c r="W34" s="60" t="s">
        <v>257</v>
      </c>
      <c r="X34" s="61" t="s">
        <v>258</v>
      </c>
      <c r="Y34" s="68" t="s">
        <v>244</v>
      </c>
      <c r="Z34" s="68" t="s">
        <v>48</v>
      </c>
      <c r="AA34" s="68" t="s">
        <v>259</v>
      </c>
      <c r="AB34" s="68" t="s">
        <v>89</v>
      </c>
      <c r="AC34" s="53">
        <v>46009</v>
      </c>
    </row>
    <row r="35" spans="1:30" s="51" customFormat="1" ht="28.5" hidden="1" customHeight="1">
      <c r="A35" s="68" t="s">
        <v>16</v>
      </c>
      <c r="B35" s="54">
        <v>2512083</v>
      </c>
      <c r="C35" s="81">
        <v>70643</v>
      </c>
      <c r="D35" s="58" t="s">
        <v>262</v>
      </c>
      <c r="E35" s="68">
        <v>713951</v>
      </c>
      <c r="F35" s="68">
        <v>1</v>
      </c>
      <c r="G35" s="68" t="s">
        <v>19</v>
      </c>
      <c r="H35" s="60" t="s">
        <v>88</v>
      </c>
      <c r="I35" s="60"/>
      <c r="J35" s="83">
        <v>29</v>
      </c>
      <c r="K35" s="83">
        <v>44</v>
      </c>
      <c r="L35" s="83">
        <v>54</v>
      </c>
      <c r="M35" s="83">
        <v>25</v>
      </c>
      <c r="N35" s="83">
        <v>6</v>
      </c>
      <c r="O35" s="60"/>
      <c r="P35" s="77">
        <f t="shared" si="0"/>
        <v>158</v>
      </c>
      <c r="Q35" s="60"/>
      <c r="R35" s="186">
        <v>46137</v>
      </c>
      <c r="S35" s="186">
        <v>46142</v>
      </c>
      <c r="T35" s="186">
        <v>46142</v>
      </c>
      <c r="U35" s="48" t="s">
        <v>373</v>
      </c>
      <c r="V35" s="59" t="s">
        <v>270</v>
      </c>
      <c r="W35" s="60" t="s">
        <v>263</v>
      </c>
      <c r="X35" s="61" t="s">
        <v>264</v>
      </c>
      <c r="Y35" s="68" t="s">
        <v>244</v>
      </c>
      <c r="Z35" s="68" t="s">
        <v>48</v>
      </c>
      <c r="AA35" s="68" t="s">
        <v>265</v>
      </c>
      <c r="AB35" s="68" t="s">
        <v>89</v>
      </c>
      <c r="AC35" s="53">
        <v>46009</v>
      </c>
    </row>
    <row r="36" spans="1:30" s="51" customFormat="1" ht="28.5" hidden="1" customHeight="1">
      <c r="A36" s="68" t="s">
        <v>16</v>
      </c>
      <c r="B36" s="54">
        <v>2512083</v>
      </c>
      <c r="C36" s="81">
        <v>70643</v>
      </c>
      <c r="D36" s="58" t="s">
        <v>238</v>
      </c>
      <c r="E36" s="68">
        <v>713951</v>
      </c>
      <c r="F36" s="68">
        <v>1</v>
      </c>
      <c r="G36" s="68" t="s">
        <v>19</v>
      </c>
      <c r="H36" s="60" t="s">
        <v>88</v>
      </c>
      <c r="I36" s="83">
        <v>144</v>
      </c>
      <c r="J36" s="83">
        <v>432</v>
      </c>
      <c r="K36" s="83">
        <v>912</v>
      </c>
      <c r="L36" s="83">
        <v>816</v>
      </c>
      <c r="M36" s="83">
        <v>576</v>
      </c>
      <c r="N36" s="83">
        <v>240</v>
      </c>
      <c r="O36" s="60"/>
      <c r="P36" s="77">
        <f t="shared" si="0"/>
        <v>3120</v>
      </c>
      <c r="Q36" s="60"/>
      <c r="R36" s="186">
        <v>46137</v>
      </c>
      <c r="S36" s="186">
        <v>46142</v>
      </c>
      <c r="T36" s="186">
        <v>46142</v>
      </c>
      <c r="U36" s="48" t="s">
        <v>373</v>
      </c>
      <c r="V36" s="59" t="s">
        <v>271</v>
      </c>
      <c r="W36" s="60" t="s">
        <v>239</v>
      </c>
      <c r="X36" s="61" t="s">
        <v>239</v>
      </c>
      <c r="Y36" s="68" t="s">
        <v>244</v>
      </c>
      <c r="Z36" s="68" t="s">
        <v>240</v>
      </c>
      <c r="AA36" s="68" t="s">
        <v>241</v>
      </c>
      <c r="AB36" s="68" t="s">
        <v>89</v>
      </c>
      <c r="AC36" s="53">
        <v>46009</v>
      </c>
    </row>
    <row r="37" spans="1:30" s="51" customFormat="1" ht="28.5" hidden="1" customHeight="1">
      <c r="A37" s="68" t="s">
        <v>16</v>
      </c>
      <c r="B37" s="54">
        <v>2512083</v>
      </c>
      <c r="C37" s="81">
        <v>70643</v>
      </c>
      <c r="D37" s="58" t="s">
        <v>266</v>
      </c>
      <c r="E37" s="68">
        <v>713951</v>
      </c>
      <c r="F37" s="68">
        <v>1</v>
      </c>
      <c r="G37" s="68" t="s">
        <v>19</v>
      </c>
      <c r="H37" s="60" t="s">
        <v>88</v>
      </c>
      <c r="I37" s="83">
        <v>16</v>
      </c>
      <c r="J37" s="83">
        <v>27</v>
      </c>
      <c r="K37" s="83">
        <v>45</v>
      </c>
      <c r="L37" s="83">
        <v>46</v>
      </c>
      <c r="M37" s="83">
        <v>29</v>
      </c>
      <c r="N37" s="83">
        <v>17</v>
      </c>
      <c r="O37" s="60"/>
      <c r="P37" s="77">
        <f t="shared" si="0"/>
        <v>180</v>
      </c>
      <c r="Q37" s="60"/>
      <c r="R37" s="186">
        <v>46137</v>
      </c>
      <c r="S37" s="186">
        <v>46142</v>
      </c>
      <c r="T37" s="186">
        <v>46142</v>
      </c>
      <c r="U37" s="48" t="s">
        <v>373</v>
      </c>
      <c r="V37" s="59" t="s">
        <v>272</v>
      </c>
      <c r="W37" s="60" t="s">
        <v>267</v>
      </c>
      <c r="X37" s="61"/>
      <c r="Y37" s="68" t="s">
        <v>244</v>
      </c>
      <c r="Z37" s="68" t="s">
        <v>31</v>
      </c>
      <c r="AA37" s="68" t="s">
        <v>268</v>
      </c>
      <c r="AB37" s="68" t="s">
        <v>89</v>
      </c>
      <c r="AC37" s="53">
        <v>46009</v>
      </c>
    </row>
    <row r="38" spans="1:30" s="51" customFormat="1" ht="28.5" hidden="1" customHeight="1">
      <c r="A38" s="68" t="s">
        <v>16</v>
      </c>
      <c r="B38" s="54">
        <v>2512083</v>
      </c>
      <c r="C38" s="81">
        <v>70643</v>
      </c>
      <c r="D38" s="58" t="s">
        <v>249</v>
      </c>
      <c r="E38" s="68">
        <v>713951</v>
      </c>
      <c r="F38" s="68">
        <v>1</v>
      </c>
      <c r="G38" s="68" t="s">
        <v>19</v>
      </c>
      <c r="H38" s="60" t="s">
        <v>88</v>
      </c>
      <c r="I38" s="83">
        <v>40</v>
      </c>
      <c r="J38" s="83">
        <v>144</v>
      </c>
      <c r="K38" s="83">
        <v>236</v>
      </c>
      <c r="L38" s="83">
        <v>233</v>
      </c>
      <c r="M38" s="83">
        <v>166</v>
      </c>
      <c r="N38" s="83">
        <v>58</v>
      </c>
      <c r="O38" s="60"/>
      <c r="P38" s="77">
        <f t="shared" si="0"/>
        <v>877</v>
      </c>
      <c r="Q38" s="60"/>
      <c r="R38" s="186">
        <v>46137</v>
      </c>
      <c r="S38" s="186">
        <v>46142</v>
      </c>
      <c r="T38" s="186">
        <v>46142</v>
      </c>
      <c r="U38" s="48" t="s">
        <v>373</v>
      </c>
      <c r="V38" s="59" t="s">
        <v>273</v>
      </c>
      <c r="W38" s="60" t="s">
        <v>250</v>
      </c>
      <c r="X38" s="61" t="s">
        <v>251</v>
      </c>
      <c r="Y38" s="68" t="s">
        <v>244</v>
      </c>
      <c r="Z38" s="68" t="s">
        <v>48</v>
      </c>
      <c r="AA38" s="68" t="s">
        <v>252</v>
      </c>
      <c r="AB38" s="68" t="s">
        <v>89</v>
      </c>
      <c r="AC38" s="53">
        <v>46009</v>
      </c>
    </row>
    <row r="39" spans="1:30" s="51" customFormat="1" ht="28.5" hidden="1" customHeight="1">
      <c r="A39" s="68" t="s">
        <v>16</v>
      </c>
      <c r="B39" s="54">
        <v>2512083</v>
      </c>
      <c r="C39" s="81">
        <v>70643</v>
      </c>
      <c r="D39" s="58" t="s">
        <v>249</v>
      </c>
      <c r="E39" s="68">
        <v>713951</v>
      </c>
      <c r="F39" s="68">
        <v>1</v>
      </c>
      <c r="G39" s="68" t="s">
        <v>19</v>
      </c>
      <c r="H39" s="60" t="s">
        <v>88</v>
      </c>
      <c r="I39" s="60"/>
      <c r="J39" s="60"/>
      <c r="K39" s="60"/>
      <c r="L39" s="60"/>
      <c r="M39" s="60"/>
      <c r="N39" s="60"/>
      <c r="O39" s="83">
        <v>1</v>
      </c>
      <c r="P39" s="77">
        <f t="shared" si="0"/>
        <v>1</v>
      </c>
      <c r="Q39" s="60"/>
      <c r="R39" s="186">
        <v>46137</v>
      </c>
      <c r="S39" s="186">
        <v>46142</v>
      </c>
      <c r="T39" s="186">
        <v>46142</v>
      </c>
      <c r="U39" s="48" t="s">
        <v>373</v>
      </c>
      <c r="V39" s="59" t="s">
        <v>273</v>
      </c>
      <c r="W39" s="60" t="s">
        <v>250</v>
      </c>
      <c r="X39" s="61" t="s">
        <v>251</v>
      </c>
      <c r="Y39" s="68" t="s">
        <v>244</v>
      </c>
      <c r="Z39" s="68" t="s">
        <v>48</v>
      </c>
      <c r="AA39" s="68" t="s">
        <v>252</v>
      </c>
      <c r="AB39" s="68" t="s">
        <v>89</v>
      </c>
      <c r="AC39" s="53">
        <v>46009</v>
      </c>
    </row>
    <row r="40" spans="1:30" s="51" customFormat="1" ht="28.5" hidden="1" customHeight="1">
      <c r="A40" s="68" t="s">
        <v>16</v>
      </c>
      <c r="B40" s="54">
        <v>2512083</v>
      </c>
      <c r="C40" s="81">
        <v>70643</v>
      </c>
      <c r="D40" s="58" t="s">
        <v>260</v>
      </c>
      <c r="E40" s="68">
        <v>713951</v>
      </c>
      <c r="F40" s="68">
        <v>1</v>
      </c>
      <c r="G40" s="68" t="s">
        <v>19</v>
      </c>
      <c r="H40" s="60" t="s">
        <v>88</v>
      </c>
      <c r="I40" s="83">
        <v>26</v>
      </c>
      <c r="J40" s="83">
        <v>45</v>
      </c>
      <c r="K40" s="83">
        <v>40</v>
      </c>
      <c r="L40" s="83">
        <v>13</v>
      </c>
      <c r="M40" s="83">
        <v>6</v>
      </c>
      <c r="N40" s="60"/>
      <c r="O40" s="60"/>
      <c r="P40" s="77">
        <f t="shared" si="0"/>
        <v>130</v>
      </c>
      <c r="Q40" s="60"/>
      <c r="R40" s="186">
        <v>46137</v>
      </c>
      <c r="S40" s="186">
        <v>46142</v>
      </c>
      <c r="T40" s="186">
        <v>46142</v>
      </c>
      <c r="U40" s="48" t="s">
        <v>373</v>
      </c>
      <c r="V40" s="59" t="s">
        <v>274</v>
      </c>
      <c r="W40" s="60" t="s">
        <v>250</v>
      </c>
      <c r="X40" s="61" t="s">
        <v>261</v>
      </c>
      <c r="Y40" s="68" t="s">
        <v>244</v>
      </c>
      <c r="Z40" s="68" t="s">
        <v>48</v>
      </c>
      <c r="AA40" s="68" t="s">
        <v>101</v>
      </c>
      <c r="AB40" s="68" t="s">
        <v>89</v>
      </c>
      <c r="AC40" s="53">
        <v>46009</v>
      </c>
    </row>
    <row r="41" spans="1:30" s="51" customFormat="1" ht="28.5" hidden="1" customHeight="1">
      <c r="A41" s="68" t="s">
        <v>16</v>
      </c>
      <c r="B41" s="54">
        <v>2512083</v>
      </c>
      <c r="C41" s="81">
        <v>70643</v>
      </c>
      <c r="D41" s="58" t="s">
        <v>245</v>
      </c>
      <c r="E41" s="68">
        <v>713951</v>
      </c>
      <c r="F41" s="68">
        <v>1</v>
      </c>
      <c r="G41" s="68" t="s">
        <v>19</v>
      </c>
      <c r="H41" s="60" t="s">
        <v>88</v>
      </c>
      <c r="I41" s="83">
        <v>30</v>
      </c>
      <c r="J41" s="83">
        <v>69</v>
      </c>
      <c r="K41" s="83">
        <v>140</v>
      </c>
      <c r="L41" s="83">
        <v>139</v>
      </c>
      <c r="M41" s="83">
        <v>104</v>
      </c>
      <c r="N41" s="83">
        <v>34</v>
      </c>
      <c r="O41" s="60"/>
      <c r="P41" s="77">
        <f t="shared" si="0"/>
        <v>516</v>
      </c>
      <c r="Q41" s="60"/>
      <c r="R41" s="186">
        <v>46142</v>
      </c>
      <c r="S41" s="186">
        <v>46147</v>
      </c>
      <c r="T41" s="186">
        <v>46147</v>
      </c>
      <c r="U41" s="48" t="s">
        <v>373</v>
      </c>
      <c r="V41" s="59" t="s">
        <v>275</v>
      </c>
      <c r="W41" s="60" t="s">
        <v>246</v>
      </c>
      <c r="X41" s="61" t="s">
        <v>247</v>
      </c>
      <c r="Y41" s="68" t="s">
        <v>244</v>
      </c>
      <c r="Z41" s="68" t="s">
        <v>48</v>
      </c>
      <c r="AA41" s="68" t="s">
        <v>248</v>
      </c>
      <c r="AB41" s="68" t="s">
        <v>89</v>
      </c>
      <c r="AC41" s="53">
        <v>46009</v>
      </c>
    </row>
    <row r="42" spans="1:30" s="51" customFormat="1" ht="28.5" hidden="1" customHeight="1">
      <c r="A42" s="68" t="s">
        <v>16</v>
      </c>
      <c r="B42" s="54">
        <v>2512083</v>
      </c>
      <c r="C42" s="81">
        <v>70643</v>
      </c>
      <c r="D42" s="58" t="s">
        <v>238</v>
      </c>
      <c r="E42" s="68">
        <v>713951</v>
      </c>
      <c r="F42" s="68">
        <v>1</v>
      </c>
      <c r="G42" s="68" t="s">
        <v>19</v>
      </c>
      <c r="H42" s="60" t="s">
        <v>88</v>
      </c>
      <c r="I42" s="60"/>
      <c r="J42" s="60"/>
      <c r="K42" s="60"/>
      <c r="L42" s="60"/>
      <c r="M42" s="60"/>
      <c r="N42" s="60"/>
      <c r="O42" s="83">
        <v>480</v>
      </c>
      <c r="P42" s="77">
        <f t="shared" si="0"/>
        <v>480</v>
      </c>
      <c r="Q42" s="60"/>
      <c r="R42" s="186">
        <v>46137</v>
      </c>
      <c r="S42" s="186">
        <v>46142</v>
      </c>
      <c r="T42" s="186">
        <v>46142</v>
      </c>
      <c r="U42" s="48" t="s">
        <v>373</v>
      </c>
      <c r="V42" s="59" t="s">
        <v>276</v>
      </c>
      <c r="W42" s="60" t="s">
        <v>239</v>
      </c>
      <c r="X42" s="61" t="s">
        <v>239</v>
      </c>
      <c r="Y42" s="68" t="s">
        <v>244</v>
      </c>
      <c r="Z42" s="68" t="s">
        <v>240</v>
      </c>
      <c r="AA42" s="68" t="s">
        <v>241</v>
      </c>
      <c r="AB42" s="68" t="s">
        <v>89</v>
      </c>
      <c r="AC42" s="53">
        <v>46009</v>
      </c>
    </row>
    <row r="43" spans="1:30" s="51" customFormat="1" ht="28.5" hidden="1" customHeight="1">
      <c r="A43" s="68" t="s">
        <v>16</v>
      </c>
      <c r="B43" s="54">
        <v>2512083</v>
      </c>
      <c r="C43" s="81">
        <v>70643</v>
      </c>
      <c r="D43" s="58" t="s">
        <v>238</v>
      </c>
      <c r="E43" s="68">
        <v>713951</v>
      </c>
      <c r="F43" s="68">
        <v>1</v>
      </c>
      <c r="G43" s="68" t="s">
        <v>19</v>
      </c>
      <c r="H43" s="60" t="s">
        <v>88</v>
      </c>
      <c r="I43" s="83">
        <v>288</v>
      </c>
      <c r="J43" s="83">
        <v>1008</v>
      </c>
      <c r="K43" s="83">
        <v>1920</v>
      </c>
      <c r="L43" s="83">
        <v>1680</v>
      </c>
      <c r="M43" s="83">
        <v>960</v>
      </c>
      <c r="N43" s="83">
        <v>480</v>
      </c>
      <c r="O43" s="60"/>
      <c r="P43" s="77">
        <f t="shared" si="0"/>
        <v>6336</v>
      </c>
      <c r="Q43" s="60"/>
      <c r="R43" s="186">
        <v>46137</v>
      </c>
      <c r="S43" s="186">
        <v>46142</v>
      </c>
      <c r="T43" s="186">
        <v>46142</v>
      </c>
      <c r="U43" s="48" t="s">
        <v>373</v>
      </c>
      <c r="V43" s="59" t="s">
        <v>276</v>
      </c>
      <c r="W43" s="60" t="s">
        <v>239</v>
      </c>
      <c r="X43" s="61" t="s">
        <v>239</v>
      </c>
      <c r="Y43" s="68" t="s">
        <v>244</v>
      </c>
      <c r="Z43" s="68" t="s">
        <v>240</v>
      </c>
      <c r="AA43" s="68" t="s">
        <v>241</v>
      </c>
      <c r="AB43" s="68" t="s">
        <v>89</v>
      </c>
      <c r="AC43" s="53">
        <v>46009</v>
      </c>
    </row>
    <row r="44" spans="1:30" s="51" customFormat="1" ht="28.5" hidden="1" customHeight="1">
      <c r="A44" s="68" t="s">
        <v>16</v>
      </c>
      <c r="B44" s="54">
        <v>2512083</v>
      </c>
      <c r="C44" s="81">
        <v>70643</v>
      </c>
      <c r="D44" s="58" t="s">
        <v>253</v>
      </c>
      <c r="E44" s="68">
        <v>713951</v>
      </c>
      <c r="F44" s="68">
        <v>1</v>
      </c>
      <c r="G44" s="68" t="s">
        <v>19</v>
      </c>
      <c r="H44" s="60" t="s">
        <v>88</v>
      </c>
      <c r="I44" s="83">
        <v>18</v>
      </c>
      <c r="J44" s="83">
        <v>56</v>
      </c>
      <c r="K44" s="83">
        <v>77</v>
      </c>
      <c r="L44" s="83">
        <v>82</v>
      </c>
      <c r="M44" s="83">
        <v>33</v>
      </c>
      <c r="N44" s="83">
        <v>3</v>
      </c>
      <c r="O44" s="60"/>
      <c r="P44" s="77">
        <f>SUM(I44:O44)</f>
        <v>269</v>
      </c>
      <c r="Q44" s="60"/>
      <c r="R44" s="186">
        <v>46137</v>
      </c>
      <c r="S44" s="186">
        <v>46142</v>
      </c>
      <c r="T44" s="186">
        <v>46142</v>
      </c>
      <c r="U44" s="48" t="s">
        <v>373</v>
      </c>
      <c r="V44" s="59" t="s">
        <v>277</v>
      </c>
      <c r="W44" s="60" t="s">
        <v>254</v>
      </c>
      <c r="X44" s="61"/>
      <c r="Y44" s="68" t="s">
        <v>244</v>
      </c>
      <c r="Z44" s="68" t="s">
        <v>48</v>
      </c>
      <c r="AA44" s="68" t="s">
        <v>255</v>
      </c>
      <c r="AB44" s="68" t="s">
        <v>89</v>
      </c>
      <c r="AC44" s="53">
        <v>46009</v>
      </c>
    </row>
    <row r="45" spans="1:30" s="102" customFormat="1" ht="37.5" hidden="1" customHeight="1">
      <c r="A45" s="68" t="s">
        <v>16</v>
      </c>
      <c r="B45" s="81">
        <v>2602026</v>
      </c>
      <c r="C45" s="81">
        <v>70643</v>
      </c>
      <c r="D45" s="58" t="s">
        <v>407</v>
      </c>
      <c r="E45" s="81">
        <v>713951</v>
      </c>
      <c r="F45" s="60" t="s">
        <v>18</v>
      </c>
      <c r="G45" s="68" t="s">
        <v>19</v>
      </c>
      <c r="H45" s="60" t="s">
        <v>88</v>
      </c>
      <c r="I45" s="60"/>
      <c r="J45" s="60"/>
      <c r="K45" s="83">
        <v>181</v>
      </c>
      <c r="L45" s="83">
        <v>181</v>
      </c>
      <c r="M45" s="83">
        <v>90</v>
      </c>
      <c r="N45" s="60"/>
      <c r="O45" s="60"/>
      <c r="P45" s="77">
        <f t="shared" ref="P45:P53" si="1">SUM(I45:O45)</f>
        <v>452</v>
      </c>
      <c r="Q45" s="60"/>
      <c r="R45" s="186">
        <v>46213</v>
      </c>
      <c r="S45" s="186">
        <v>46218</v>
      </c>
      <c r="T45" s="186">
        <v>46218</v>
      </c>
      <c r="U45" s="48" t="s">
        <v>373</v>
      </c>
      <c r="V45" s="60" t="s">
        <v>419</v>
      </c>
      <c r="W45" s="61" t="s">
        <v>409</v>
      </c>
      <c r="X45" s="68"/>
      <c r="Y45" s="68" t="s">
        <v>244</v>
      </c>
      <c r="Z45" s="68" t="s">
        <v>316</v>
      </c>
      <c r="AA45" s="68" t="s">
        <v>410</v>
      </c>
      <c r="AB45" s="68" t="s">
        <v>89</v>
      </c>
      <c r="AC45" s="53">
        <v>46057</v>
      </c>
      <c r="AD45" s="102" t="s">
        <v>393</v>
      </c>
    </row>
    <row r="46" spans="1:30" s="102" customFormat="1" ht="37.5" hidden="1" customHeight="1">
      <c r="A46" s="68" t="s">
        <v>16</v>
      </c>
      <c r="B46" s="81">
        <v>2602026</v>
      </c>
      <c r="C46" s="81">
        <v>70643</v>
      </c>
      <c r="D46" s="58" t="s">
        <v>314</v>
      </c>
      <c r="E46" s="81">
        <v>713951</v>
      </c>
      <c r="F46" s="60" t="s">
        <v>18</v>
      </c>
      <c r="G46" s="68" t="s">
        <v>19</v>
      </c>
      <c r="H46" s="60" t="s">
        <v>88</v>
      </c>
      <c r="I46" s="60"/>
      <c r="J46" s="60"/>
      <c r="K46" s="60"/>
      <c r="L46" s="60"/>
      <c r="M46" s="60"/>
      <c r="N46" s="60"/>
      <c r="O46" s="83">
        <v>2</v>
      </c>
      <c r="P46" s="77">
        <f t="shared" si="1"/>
        <v>2</v>
      </c>
      <c r="Q46" s="60"/>
      <c r="R46" s="186">
        <v>46183</v>
      </c>
      <c r="S46" s="186">
        <v>46188</v>
      </c>
      <c r="T46" s="186">
        <v>46188</v>
      </c>
      <c r="U46" s="48" t="s">
        <v>373</v>
      </c>
      <c r="V46" s="60" t="s">
        <v>420</v>
      </c>
      <c r="W46" s="68" t="s">
        <v>28</v>
      </c>
      <c r="X46" s="68" t="s">
        <v>315</v>
      </c>
      <c r="Y46" s="68" t="s">
        <v>244</v>
      </c>
      <c r="Z46" s="68" t="s">
        <v>316</v>
      </c>
      <c r="AA46" s="68" t="s">
        <v>317</v>
      </c>
      <c r="AB46" s="68" t="s">
        <v>89</v>
      </c>
      <c r="AC46" s="53">
        <v>46057</v>
      </c>
      <c r="AD46" s="102" t="s">
        <v>393</v>
      </c>
    </row>
    <row r="47" spans="1:30" s="102" customFormat="1" ht="37.5" hidden="1" customHeight="1">
      <c r="A47" s="68" t="s">
        <v>16</v>
      </c>
      <c r="B47" s="81">
        <v>2602026</v>
      </c>
      <c r="C47" s="81">
        <v>70643</v>
      </c>
      <c r="D47" s="58" t="s">
        <v>314</v>
      </c>
      <c r="E47" s="81">
        <v>713951</v>
      </c>
      <c r="F47" s="60" t="s">
        <v>18</v>
      </c>
      <c r="G47" s="68" t="s">
        <v>19</v>
      </c>
      <c r="H47" s="60" t="s">
        <v>88</v>
      </c>
      <c r="I47" s="83">
        <v>2</v>
      </c>
      <c r="J47" s="83">
        <v>33</v>
      </c>
      <c r="K47" s="83">
        <v>50</v>
      </c>
      <c r="L47" s="83">
        <v>53</v>
      </c>
      <c r="M47" s="83">
        <v>31</v>
      </c>
      <c r="N47" s="83">
        <v>17</v>
      </c>
      <c r="O47" s="60"/>
      <c r="P47" s="77">
        <f t="shared" si="1"/>
        <v>186</v>
      </c>
      <c r="Q47" s="60"/>
      <c r="R47" s="186">
        <v>46183</v>
      </c>
      <c r="S47" s="186">
        <v>46188</v>
      </c>
      <c r="T47" s="186">
        <v>46188</v>
      </c>
      <c r="U47" s="48" t="s">
        <v>373</v>
      </c>
      <c r="V47" s="60" t="s">
        <v>420</v>
      </c>
      <c r="W47" s="68" t="s">
        <v>28</v>
      </c>
      <c r="X47" s="68" t="s">
        <v>315</v>
      </c>
      <c r="Y47" s="68" t="s">
        <v>244</v>
      </c>
      <c r="Z47" s="68" t="s">
        <v>316</v>
      </c>
      <c r="AA47" s="68" t="s">
        <v>317</v>
      </c>
      <c r="AB47" s="68" t="s">
        <v>89</v>
      </c>
      <c r="AC47" s="53">
        <v>46057</v>
      </c>
      <c r="AD47" s="102" t="s">
        <v>393</v>
      </c>
    </row>
    <row r="48" spans="1:30" s="102" customFormat="1" ht="37.5" hidden="1" customHeight="1">
      <c r="A48" s="68" t="s">
        <v>16</v>
      </c>
      <c r="B48" s="81">
        <v>2602026</v>
      </c>
      <c r="C48" s="81">
        <v>70643</v>
      </c>
      <c r="D48" s="58" t="s">
        <v>318</v>
      </c>
      <c r="E48" s="81">
        <v>713951</v>
      </c>
      <c r="F48" s="60" t="s">
        <v>18</v>
      </c>
      <c r="G48" s="68" t="s">
        <v>19</v>
      </c>
      <c r="H48" s="60" t="s">
        <v>88</v>
      </c>
      <c r="I48" s="83">
        <v>10</v>
      </c>
      <c r="J48" s="83">
        <v>4</v>
      </c>
      <c r="K48" s="83">
        <v>10</v>
      </c>
      <c r="L48" s="83">
        <v>10</v>
      </c>
      <c r="M48" s="83">
        <v>7</v>
      </c>
      <c r="N48" s="83">
        <v>4</v>
      </c>
      <c r="O48" s="60"/>
      <c r="P48" s="77">
        <f t="shared" si="1"/>
        <v>45</v>
      </c>
      <c r="Q48" s="60"/>
      <c r="R48" s="186">
        <v>46183</v>
      </c>
      <c r="S48" s="186">
        <v>46188</v>
      </c>
      <c r="T48" s="186">
        <v>46188</v>
      </c>
      <c r="U48" s="48" t="s">
        <v>373</v>
      </c>
      <c r="V48" s="60" t="s">
        <v>421</v>
      </c>
      <c r="W48" s="68" t="s">
        <v>40</v>
      </c>
      <c r="X48" s="68"/>
      <c r="Y48" s="68" t="s">
        <v>244</v>
      </c>
      <c r="Z48" s="68" t="s">
        <v>31</v>
      </c>
      <c r="AA48" s="68" t="s">
        <v>319</v>
      </c>
      <c r="AB48" s="68" t="s">
        <v>89</v>
      </c>
      <c r="AC48" s="53">
        <v>46057</v>
      </c>
      <c r="AD48" s="102" t="s">
        <v>393</v>
      </c>
    </row>
    <row r="49" spans="1:30" s="102" customFormat="1" ht="37.5" customHeight="1">
      <c r="A49" s="68" t="s">
        <v>16</v>
      </c>
      <c r="B49" s="81">
        <v>2602026</v>
      </c>
      <c r="C49" s="81">
        <v>70643</v>
      </c>
      <c r="D49" s="58" t="s">
        <v>45</v>
      </c>
      <c r="E49" s="81">
        <v>713951</v>
      </c>
      <c r="F49" s="60" t="s">
        <v>18</v>
      </c>
      <c r="G49" s="68" t="s">
        <v>19</v>
      </c>
      <c r="H49" s="60" t="s">
        <v>88</v>
      </c>
      <c r="I49" s="60"/>
      <c r="J49" s="83">
        <v>3</v>
      </c>
      <c r="K49" s="83">
        <v>4</v>
      </c>
      <c r="L49" s="83">
        <v>3</v>
      </c>
      <c r="M49" s="83">
        <v>3</v>
      </c>
      <c r="N49" s="60"/>
      <c r="O49" s="60"/>
      <c r="P49" s="77">
        <f t="shared" si="1"/>
        <v>13</v>
      </c>
      <c r="Q49" s="60"/>
      <c r="R49" s="186">
        <v>46183</v>
      </c>
      <c r="S49" s="186">
        <v>46188</v>
      </c>
      <c r="T49" s="186">
        <v>46188</v>
      </c>
      <c r="U49" s="48" t="s">
        <v>373</v>
      </c>
      <c r="V49" s="60" t="s">
        <v>422</v>
      </c>
      <c r="W49" s="68" t="s">
        <v>40</v>
      </c>
      <c r="X49" s="68" t="s">
        <v>102</v>
      </c>
      <c r="Y49" s="68" t="s">
        <v>244</v>
      </c>
      <c r="Z49" s="68" t="s">
        <v>31</v>
      </c>
      <c r="AA49" s="68" t="s">
        <v>47</v>
      </c>
      <c r="AB49" s="68" t="s">
        <v>89</v>
      </c>
      <c r="AC49" s="53">
        <v>46057</v>
      </c>
      <c r="AD49" s="102" t="s">
        <v>393</v>
      </c>
    </row>
    <row r="50" spans="1:30" s="102" customFormat="1" ht="37.5" hidden="1" customHeight="1">
      <c r="A50" s="68" t="s">
        <v>16</v>
      </c>
      <c r="B50" s="81">
        <v>2602026</v>
      </c>
      <c r="C50" s="81">
        <v>70643</v>
      </c>
      <c r="D50" s="58" t="s">
        <v>320</v>
      </c>
      <c r="E50" s="81">
        <v>713951</v>
      </c>
      <c r="F50" s="60" t="s">
        <v>18</v>
      </c>
      <c r="G50" s="68" t="s">
        <v>19</v>
      </c>
      <c r="H50" s="60" t="s">
        <v>88</v>
      </c>
      <c r="I50" s="83">
        <v>57</v>
      </c>
      <c r="J50" s="60"/>
      <c r="K50" s="60"/>
      <c r="L50" s="60"/>
      <c r="M50" s="60"/>
      <c r="N50" s="60"/>
      <c r="O50" s="60"/>
      <c r="P50" s="77">
        <f t="shared" si="1"/>
        <v>57</v>
      </c>
      <c r="Q50" s="60"/>
      <c r="R50" s="186">
        <v>46183</v>
      </c>
      <c r="S50" s="186">
        <v>46188</v>
      </c>
      <c r="T50" s="186">
        <v>46188</v>
      </c>
      <c r="U50" s="48" t="s">
        <v>373</v>
      </c>
      <c r="V50" s="60" t="s">
        <v>423</v>
      </c>
      <c r="W50" s="68" t="s">
        <v>40</v>
      </c>
      <c r="X50" s="68" t="s">
        <v>321</v>
      </c>
      <c r="Y50" s="68" t="s">
        <v>244</v>
      </c>
      <c r="Z50" s="68" t="s">
        <v>31</v>
      </c>
      <c r="AA50" s="68" t="s">
        <v>322</v>
      </c>
      <c r="AB50" s="68" t="s">
        <v>89</v>
      </c>
      <c r="AC50" s="53">
        <v>46057</v>
      </c>
      <c r="AD50" s="102" t="s">
        <v>393</v>
      </c>
    </row>
    <row r="51" spans="1:30" s="102" customFormat="1" ht="37.5" hidden="1" customHeight="1">
      <c r="A51" s="68" t="s">
        <v>16</v>
      </c>
      <c r="B51" s="81">
        <v>2602026</v>
      </c>
      <c r="C51" s="81">
        <v>70643</v>
      </c>
      <c r="D51" s="58" t="s">
        <v>314</v>
      </c>
      <c r="E51" s="81">
        <v>713951</v>
      </c>
      <c r="F51" s="60" t="s">
        <v>18</v>
      </c>
      <c r="G51" s="68" t="s">
        <v>19</v>
      </c>
      <c r="H51" s="60" t="s">
        <v>88</v>
      </c>
      <c r="I51" s="60"/>
      <c r="J51" s="83">
        <v>22</v>
      </c>
      <c r="K51" s="83">
        <v>44</v>
      </c>
      <c r="L51" s="83">
        <v>45</v>
      </c>
      <c r="M51" s="83">
        <v>22</v>
      </c>
      <c r="N51" s="60"/>
      <c r="O51" s="60"/>
      <c r="P51" s="77">
        <f t="shared" si="1"/>
        <v>133</v>
      </c>
      <c r="Q51" s="60"/>
      <c r="R51" s="186">
        <v>46183</v>
      </c>
      <c r="S51" s="186">
        <v>46188</v>
      </c>
      <c r="T51" s="186">
        <v>46188</v>
      </c>
      <c r="U51" s="48" t="s">
        <v>373</v>
      </c>
      <c r="V51" s="60" t="s">
        <v>424</v>
      </c>
      <c r="W51" s="68" t="s">
        <v>28</v>
      </c>
      <c r="X51" s="68" t="s">
        <v>315</v>
      </c>
      <c r="Y51" s="68" t="s">
        <v>244</v>
      </c>
      <c r="Z51" s="68" t="s">
        <v>316</v>
      </c>
      <c r="AA51" s="68" t="s">
        <v>317</v>
      </c>
      <c r="AB51" s="68" t="s">
        <v>89</v>
      </c>
      <c r="AC51" s="53">
        <v>46057</v>
      </c>
      <c r="AD51" s="102" t="s">
        <v>393</v>
      </c>
    </row>
    <row r="52" spans="1:30" s="102" customFormat="1" ht="37.5" hidden="1" customHeight="1">
      <c r="A52" s="68" t="s">
        <v>16</v>
      </c>
      <c r="B52" s="81">
        <v>2602026</v>
      </c>
      <c r="C52" s="81">
        <v>70643</v>
      </c>
      <c r="D52" s="58" t="s">
        <v>407</v>
      </c>
      <c r="E52" s="81">
        <v>713951</v>
      </c>
      <c r="F52" s="60" t="s">
        <v>18</v>
      </c>
      <c r="G52" s="68" t="s">
        <v>19</v>
      </c>
      <c r="H52" s="60" t="s">
        <v>88</v>
      </c>
      <c r="I52" s="60"/>
      <c r="J52" s="83">
        <v>62</v>
      </c>
      <c r="K52" s="83">
        <v>63</v>
      </c>
      <c r="L52" s="83">
        <v>41</v>
      </c>
      <c r="M52" s="83">
        <v>41</v>
      </c>
      <c r="N52" s="60"/>
      <c r="O52" s="60"/>
      <c r="P52" s="77">
        <f t="shared" si="1"/>
        <v>207</v>
      </c>
      <c r="Q52" s="60"/>
      <c r="R52" s="186">
        <v>46213</v>
      </c>
      <c r="S52" s="186">
        <v>46218</v>
      </c>
      <c r="T52" s="186">
        <v>46218</v>
      </c>
      <c r="U52" s="48" t="s">
        <v>373</v>
      </c>
      <c r="V52" s="60" t="s">
        <v>425</v>
      </c>
      <c r="W52" s="68" t="s">
        <v>409</v>
      </c>
      <c r="X52" s="68"/>
      <c r="Y52" s="68" t="s">
        <v>244</v>
      </c>
      <c r="Z52" s="68" t="s">
        <v>316</v>
      </c>
      <c r="AA52" s="68" t="s">
        <v>410</v>
      </c>
      <c r="AB52" s="68" t="s">
        <v>89</v>
      </c>
      <c r="AC52" s="53">
        <v>46057</v>
      </c>
      <c r="AD52" s="102" t="s">
        <v>393</v>
      </c>
    </row>
    <row r="53" spans="1:30" s="102" customFormat="1" ht="37.5" hidden="1" customHeight="1">
      <c r="A53" s="68" t="s">
        <v>16</v>
      </c>
      <c r="B53" s="81">
        <v>2602026</v>
      </c>
      <c r="C53" s="81">
        <v>70643</v>
      </c>
      <c r="D53" s="58" t="s">
        <v>314</v>
      </c>
      <c r="E53" s="81">
        <v>713951</v>
      </c>
      <c r="F53" s="60" t="s">
        <v>18</v>
      </c>
      <c r="G53" s="68" t="s">
        <v>19</v>
      </c>
      <c r="H53" s="60" t="s">
        <v>88</v>
      </c>
      <c r="I53" s="83">
        <v>2</v>
      </c>
      <c r="J53" s="83">
        <v>10</v>
      </c>
      <c r="K53" s="83">
        <v>15</v>
      </c>
      <c r="L53" s="83">
        <v>18</v>
      </c>
      <c r="M53" s="83">
        <v>12</v>
      </c>
      <c r="N53" s="83">
        <v>4</v>
      </c>
      <c r="O53" s="60"/>
      <c r="P53" s="77">
        <f t="shared" si="1"/>
        <v>61</v>
      </c>
      <c r="Q53" s="60"/>
      <c r="R53" s="186">
        <v>46203</v>
      </c>
      <c r="S53" s="186">
        <v>46208</v>
      </c>
      <c r="T53" s="186">
        <v>46208</v>
      </c>
      <c r="U53" s="48" t="s">
        <v>373</v>
      </c>
      <c r="V53" s="60" t="s">
        <v>426</v>
      </c>
      <c r="W53" s="68" t="s">
        <v>28</v>
      </c>
      <c r="X53" s="68" t="s">
        <v>315</v>
      </c>
      <c r="Y53" s="68" t="s">
        <v>244</v>
      </c>
      <c r="Z53" s="68" t="s">
        <v>316</v>
      </c>
      <c r="AA53" s="68" t="s">
        <v>317</v>
      </c>
      <c r="AB53" s="68" t="s">
        <v>89</v>
      </c>
      <c r="AC53" s="53">
        <v>46057</v>
      </c>
      <c r="AD53" s="102" t="s">
        <v>393</v>
      </c>
    </row>
    <row r="54" spans="1:30" s="102" customFormat="1" ht="37.5" hidden="1" customHeight="1">
      <c r="A54" s="68" t="s">
        <v>16</v>
      </c>
      <c r="B54" s="81">
        <v>2602026</v>
      </c>
      <c r="C54" s="81">
        <v>70643</v>
      </c>
      <c r="D54" s="58" t="s">
        <v>407</v>
      </c>
      <c r="E54" s="81">
        <v>713951</v>
      </c>
      <c r="F54" s="60" t="s">
        <v>18</v>
      </c>
      <c r="G54" s="68" t="s">
        <v>19</v>
      </c>
      <c r="H54" s="60" t="s">
        <v>88</v>
      </c>
      <c r="I54" s="60"/>
      <c r="J54" s="83">
        <v>10</v>
      </c>
      <c r="K54" s="83">
        <v>17</v>
      </c>
      <c r="L54" s="83">
        <v>15</v>
      </c>
      <c r="M54" s="83">
        <v>9</v>
      </c>
      <c r="N54" s="60"/>
      <c r="O54" s="60"/>
      <c r="P54" s="48">
        <f>SUM(I54:O54)</f>
        <v>51</v>
      </c>
      <c r="Q54" s="60"/>
      <c r="R54" s="186">
        <v>46213</v>
      </c>
      <c r="S54" s="186">
        <v>46218</v>
      </c>
      <c r="T54" s="186">
        <v>46218</v>
      </c>
      <c r="U54" s="48" t="s">
        <v>373</v>
      </c>
      <c r="V54" s="60" t="s">
        <v>427</v>
      </c>
      <c r="W54" s="61" t="s">
        <v>409</v>
      </c>
      <c r="X54" s="68"/>
      <c r="Y54" s="68" t="s">
        <v>244</v>
      </c>
      <c r="Z54" s="68" t="s">
        <v>316</v>
      </c>
      <c r="AA54" s="68" t="s">
        <v>410</v>
      </c>
      <c r="AB54" s="68" t="s">
        <v>89</v>
      </c>
      <c r="AC54" s="53">
        <v>46057</v>
      </c>
      <c r="AD54" s="102" t="s">
        <v>393</v>
      </c>
    </row>
    <row r="55" spans="1:30" ht="23.1" hidden="1" customHeight="1">
      <c r="P55" s="108">
        <f>SUM(P7:P54)</f>
        <v>20021</v>
      </c>
    </row>
    <row r="60" spans="1:30">
      <c r="I60" s="15"/>
      <c r="J60" s="15"/>
      <c r="K60" s="15"/>
      <c r="L60" s="15"/>
      <c r="M60" s="15"/>
      <c r="N60" s="15"/>
      <c r="O60" s="15"/>
    </row>
  </sheetData>
  <autoFilter ref="A6:AD55">
    <filterColumn colId="21">
      <filters>
        <filter val="4801408486"/>
      </filters>
    </filterColumn>
  </autoFilter>
  <mergeCells count="2">
    <mergeCell ref="A2:D2"/>
    <mergeCell ref="A4:D4"/>
  </mergeCells>
  <pageMargins left="0" right="0" top="0.39370078740157483" bottom="0.74803149606299213" header="0.31496062992125984" footer="0.31496062992125984"/>
  <pageSetup paperSize="9" scale="29" orientation="landscape" r:id="rId1"/>
  <headerFooter>
    <oddFooter>&amp;C第 &amp;P 页，共 &amp;N 页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C22"/>
  <sheetViews>
    <sheetView view="pageBreakPreview" zoomScale="55" zoomScaleNormal="60" zoomScaleSheetLayoutView="55" workbookViewId="0">
      <selection activeCell="P20" sqref="P20"/>
    </sheetView>
  </sheetViews>
  <sheetFormatPr defaultColWidth="9" defaultRowHeight="14.25"/>
  <cols>
    <col min="1" max="1" width="10.28515625" style="17" customWidth="1"/>
    <col min="2" max="2" width="16" style="17" customWidth="1"/>
    <col min="3" max="3" width="14.7109375" style="17" customWidth="1"/>
    <col min="4" max="4" width="15.85546875" style="62" customWidth="1"/>
    <col min="5" max="5" width="16.42578125" style="17" customWidth="1"/>
    <col min="6" max="6" width="12.140625" style="17" customWidth="1"/>
    <col min="7" max="7" width="18.85546875" style="17" customWidth="1"/>
    <col min="8" max="9" width="14.28515625" style="63" customWidth="1"/>
    <col min="10" max="10" width="11.140625" style="63" customWidth="1"/>
    <col min="11" max="11" width="9" style="63" customWidth="1"/>
    <col min="12" max="12" width="10.85546875" style="63" customWidth="1"/>
    <col min="13" max="13" width="9" style="63" customWidth="1"/>
    <col min="14" max="14" width="10.5703125" style="63" customWidth="1"/>
    <col min="15" max="15" width="10.42578125" style="63" customWidth="1"/>
    <col min="16" max="16" width="15.140625" style="15" customWidth="1"/>
    <col min="17" max="17" width="9" style="63" customWidth="1"/>
    <col min="18" max="20" width="19.85546875" style="63" customWidth="1"/>
    <col min="21" max="21" width="16.42578125" style="15" customWidth="1"/>
    <col min="22" max="22" width="26" style="15" customWidth="1"/>
    <col min="23" max="23" width="19.28515625" style="63" customWidth="1"/>
    <col min="24" max="24" width="16" style="16" customWidth="1"/>
    <col min="25" max="25" width="18.28515625" style="17" customWidth="1"/>
    <col min="26" max="26" width="16.140625" style="17" customWidth="1"/>
    <col min="27" max="27" width="20.7109375" style="64" customWidth="1"/>
    <col min="28" max="28" width="16.28515625" style="64" customWidth="1"/>
    <col min="29" max="29" width="26" style="64" customWidth="1"/>
    <col min="30" max="16384" width="9" style="8"/>
  </cols>
  <sheetData>
    <row r="1" spans="1:29" ht="15.75">
      <c r="A1" s="1" t="s">
        <v>337</v>
      </c>
      <c r="B1" s="1"/>
      <c r="C1" s="1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5"/>
      <c r="Q1" s="4"/>
      <c r="R1" s="4"/>
      <c r="S1" s="4"/>
      <c r="T1" s="4"/>
      <c r="U1" s="5"/>
      <c r="V1" s="5"/>
      <c r="W1" s="4"/>
      <c r="X1" s="6"/>
      <c r="Y1" s="3"/>
      <c r="Z1" s="3"/>
      <c r="AA1" s="7"/>
      <c r="AB1" s="7"/>
      <c r="AC1" s="7"/>
    </row>
    <row r="2" spans="1:29" ht="25.5" customHeight="1">
      <c r="A2" s="381" t="s">
        <v>79</v>
      </c>
      <c r="B2" s="381"/>
      <c r="C2" s="381"/>
      <c r="D2" s="381"/>
      <c r="E2" s="9"/>
      <c r="F2" s="9"/>
      <c r="G2" s="9"/>
      <c r="H2" s="4"/>
      <c r="I2" s="4"/>
      <c r="J2" s="4"/>
      <c r="K2" s="4"/>
      <c r="L2" s="4"/>
      <c r="M2" s="4"/>
      <c r="N2" s="10"/>
      <c r="O2" s="4" t="s">
        <v>338</v>
      </c>
      <c r="P2" s="11"/>
      <c r="Q2" s="12"/>
      <c r="R2" s="4" t="s">
        <v>339</v>
      </c>
      <c r="S2" s="13"/>
      <c r="T2" s="13"/>
      <c r="U2" s="14" t="s">
        <v>340</v>
      </c>
      <c r="W2" s="3"/>
      <c r="AA2" s="18"/>
      <c r="AB2" s="18"/>
      <c r="AC2" s="18"/>
    </row>
    <row r="3" spans="1:29" ht="25.5" customHeight="1">
      <c r="A3" s="19" t="s">
        <v>80</v>
      </c>
      <c r="B3" s="19"/>
      <c r="C3" s="19"/>
      <c r="D3" s="2"/>
      <c r="E3" s="9"/>
      <c r="F3" s="20"/>
      <c r="G3" s="9"/>
      <c r="H3" s="4"/>
      <c r="I3" s="4"/>
      <c r="J3" s="4"/>
      <c r="K3" s="4"/>
      <c r="L3" s="4"/>
      <c r="M3" s="4"/>
      <c r="N3" s="21"/>
      <c r="O3" s="4" t="s">
        <v>341</v>
      </c>
      <c r="P3" s="22"/>
      <c r="Q3" s="23"/>
      <c r="R3" s="4" t="s">
        <v>342</v>
      </c>
      <c r="S3" s="13"/>
      <c r="T3" s="13"/>
      <c r="U3" s="24" t="s">
        <v>343</v>
      </c>
      <c r="W3" s="3"/>
      <c r="AA3" s="18"/>
      <c r="AB3" s="18"/>
      <c r="AC3" s="18"/>
    </row>
    <row r="4" spans="1:29" ht="75.75" customHeight="1">
      <c r="A4" s="381" t="s">
        <v>364</v>
      </c>
      <c r="B4" s="381"/>
      <c r="C4" s="84"/>
      <c r="D4" s="85"/>
      <c r="E4" s="9"/>
      <c r="F4" s="9"/>
      <c r="G4" s="9"/>
      <c r="H4" s="25"/>
      <c r="I4" s="25"/>
      <c r="J4" s="4"/>
      <c r="K4" s="4"/>
      <c r="L4" s="4"/>
      <c r="M4" s="4"/>
      <c r="N4" s="26"/>
      <c r="O4" s="4" t="s">
        <v>344</v>
      </c>
      <c r="P4" s="27"/>
      <c r="Q4" s="28"/>
      <c r="R4" s="4" t="s">
        <v>345</v>
      </c>
      <c r="S4" s="13"/>
      <c r="T4" s="13"/>
      <c r="U4" s="24" t="s">
        <v>346</v>
      </c>
      <c r="W4" s="3"/>
      <c r="AA4" s="18"/>
      <c r="AB4" s="18"/>
      <c r="AC4" s="18"/>
    </row>
    <row r="5" spans="1:29" ht="18.75" customHeight="1">
      <c r="A5" s="1" t="s">
        <v>365</v>
      </c>
      <c r="B5" s="1"/>
      <c r="C5" s="1"/>
      <c r="D5" s="2"/>
      <c r="E5" s="29"/>
      <c r="F5" s="29"/>
      <c r="G5" s="29"/>
      <c r="H5" s="4"/>
      <c r="I5" s="4"/>
      <c r="J5" s="4"/>
      <c r="K5" s="4"/>
      <c r="L5" s="4"/>
      <c r="M5" s="4"/>
      <c r="N5" s="6"/>
      <c r="O5" s="6"/>
      <c r="P5" s="30"/>
      <c r="Q5" s="6"/>
      <c r="R5" s="6"/>
      <c r="S5" s="6"/>
      <c r="T5" s="6"/>
      <c r="U5" s="31" t="s">
        <v>348</v>
      </c>
      <c r="W5" s="3"/>
      <c r="AA5" s="32"/>
      <c r="AB5" s="32"/>
      <c r="AC5" s="32"/>
    </row>
    <row r="6" spans="1:29" ht="54">
      <c r="A6" s="33" t="s">
        <v>349</v>
      </c>
      <c r="B6" s="33" t="s">
        <v>350</v>
      </c>
      <c r="C6" s="34" t="s">
        <v>351</v>
      </c>
      <c r="D6" s="34" t="s">
        <v>352</v>
      </c>
      <c r="E6" s="35" t="s">
        <v>353</v>
      </c>
      <c r="F6" s="35" t="s">
        <v>0</v>
      </c>
      <c r="G6" s="35" t="s">
        <v>354</v>
      </c>
      <c r="H6" s="35" t="s">
        <v>355</v>
      </c>
      <c r="I6" s="36" t="s">
        <v>78</v>
      </c>
      <c r="J6" s="37" t="s">
        <v>1</v>
      </c>
      <c r="K6" s="37" t="s">
        <v>2</v>
      </c>
      <c r="L6" s="37" t="s">
        <v>3</v>
      </c>
      <c r="M6" s="37" t="s">
        <v>4</v>
      </c>
      <c r="N6" s="37" t="s">
        <v>5</v>
      </c>
      <c r="O6" s="37" t="s">
        <v>6</v>
      </c>
      <c r="P6" s="37" t="s">
        <v>7</v>
      </c>
      <c r="Q6" s="37" t="s">
        <v>356</v>
      </c>
      <c r="R6" s="38" t="s">
        <v>357</v>
      </c>
      <c r="S6" s="38" t="s">
        <v>8</v>
      </c>
      <c r="T6" s="98" t="s">
        <v>367</v>
      </c>
      <c r="U6" s="38" t="s">
        <v>9</v>
      </c>
      <c r="V6" s="39" t="s">
        <v>358</v>
      </c>
      <c r="W6" s="38" t="s">
        <v>10</v>
      </c>
      <c r="X6" s="38" t="s">
        <v>11</v>
      </c>
      <c r="Y6" s="40" t="s">
        <v>359</v>
      </c>
      <c r="Z6" s="38" t="s">
        <v>360</v>
      </c>
      <c r="AA6" s="38" t="s">
        <v>12</v>
      </c>
      <c r="AB6" s="41" t="s">
        <v>90</v>
      </c>
      <c r="AC6" s="42" t="s">
        <v>361</v>
      </c>
    </row>
    <row r="7" spans="1:29" s="51" customFormat="1" ht="47.65" customHeight="1">
      <c r="A7" s="43" t="s">
        <v>16</v>
      </c>
      <c r="B7" s="75">
        <v>2512040</v>
      </c>
      <c r="C7" s="75">
        <v>70641</v>
      </c>
      <c r="D7" s="46" t="s">
        <v>56</v>
      </c>
      <c r="E7" s="75">
        <v>713948</v>
      </c>
      <c r="F7" s="76" t="s">
        <v>18</v>
      </c>
      <c r="G7" s="46" t="s">
        <v>19</v>
      </c>
      <c r="H7" s="48" t="s">
        <v>88</v>
      </c>
      <c r="I7" s="48"/>
      <c r="J7" s="77">
        <v>30</v>
      </c>
      <c r="K7" s="77">
        <v>35</v>
      </c>
      <c r="L7" s="77">
        <v>30</v>
      </c>
      <c r="M7" s="77">
        <v>16</v>
      </c>
      <c r="N7" s="77">
        <v>1</v>
      </c>
      <c r="O7" s="48"/>
      <c r="P7" s="48">
        <f>SUM(I7:O7)</f>
        <v>112</v>
      </c>
      <c r="Q7" s="45"/>
      <c r="R7" s="45" t="s">
        <v>115</v>
      </c>
      <c r="S7" s="45" t="s">
        <v>121</v>
      </c>
      <c r="T7" s="109"/>
      <c r="U7" s="48" t="s">
        <v>373</v>
      </c>
      <c r="V7" s="48" t="s">
        <v>225</v>
      </c>
      <c r="W7" s="45" t="s">
        <v>57</v>
      </c>
      <c r="X7" s="49"/>
      <c r="Y7" s="43" t="s">
        <v>244</v>
      </c>
      <c r="Z7" s="43" t="s">
        <v>48</v>
      </c>
      <c r="AA7" s="43" t="s">
        <v>58</v>
      </c>
      <c r="AB7" s="90" t="s">
        <v>89</v>
      </c>
      <c r="AC7" s="91">
        <v>45996</v>
      </c>
    </row>
    <row r="8" spans="1:29" s="51" customFormat="1" ht="47.65" customHeight="1">
      <c r="A8" s="43" t="s">
        <v>16</v>
      </c>
      <c r="B8" s="75">
        <v>2512040</v>
      </c>
      <c r="C8" s="75">
        <v>70641</v>
      </c>
      <c r="D8" s="46" t="s">
        <v>17</v>
      </c>
      <c r="E8" s="75">
        <v>713948</v>
      </c>
      <c r="F8" s="76" t="s">
        <v>18</v>
      </c>
      <c r="G8" s="46" t="s">
        <v>19</v>
      </c>
      <c r="H8" s="48" t="s">
        <v>88</v>
      </c>
      <c r="I8" s="48"/>
      <c r="J8" s="77">
        <v>16</v>
      </c>
      <c r="K8" s="77">
        <v>24</v>
      </c>
      <c r="L8" s="77">
        <v>16</v>
      </c>
      <c r="M8" s="77">
        <v>8</v>
      </c>
      <c r="N8" s="77">
        <v>8</v>
      </c>
      <c r="O8" s="48"/>
      <c r="P8" s="48">
        <f t="shared" ref="P8:P20" si="0">SUM(I8:O8)</f>
        <v>72</v>
      </c>
      <c r="Q8" s="45"/>
      <c r="R8" s="45" t="s">
        <v>336</v>
      </c>
      <c r="S8" s="45" t="s">
        <v>335</v>
      </c>
      <c r="T8" s="109"/>
      <c r="U8" s="48" t="s">
        <v>373</v>
      </c>
      <c r="V8" s="48" t="s">
        <v>226</v>
      </c>
      <c r="W8" s="45" t="s">
        <v>20</v>
      </c>
      <c r="X8" s="49" t="s">
        <v>20</v>
      </c>
      <c r="Y8" s="43" t="s">
        <v>244</v>
      </c>
      <c r="Z8" s="43" t="s">
        <v>21</v>
      </c>
      <c r="AA8" s="43" t="s">
        <v>22</v>
      </c>
      <c r="AB8" s="90" t="s">
        <v>89</v>
      </c>
      <c r="AC8" s="91">
        <v>45996</v>
      </c>
    </row>
    <row r="9" spans="1:29" s="51" customFormat="1" ht="47.65" customHeight="1">
      <c r="A9" s="43" t="s">
        <v>16</v>
      </c>
      <c r="B9" s="75">
        <v>2512040</v>
      </c>
      <c r="C9" s="75">
        <v>70641</v>
      </c>
      <c r="D9" s="46" t="s">
        <v>91</v>
      </c>
      <c r="E9" s="75">
        <v>713948</v>
      </c>
      <c r="F9" s="76" t="s">
        <v>18</v>
      </c>
      <c r="G9" s="46" t="s">
        <v>19</v>
      </c>
      <c r="H9" s="48" t="s">
        <v>88</v>
      </c>
      <c r="I9" s="48"/>
      <c r="J9" s="77">
        <v>32</v>
      </c>
      <c r="K9" s="77">
        <v>68</v>
      </c>
      <c r="L9" s="77">
        <v>63</v>
      </c>
      <c r="M9" s="77">
        <v>25</v>
      </c>
      <c r="N9" s="77">
        <v>5</v>
      </c>
      <c r="O9" s="48"/>
      <c r="P9" s="48">
        <f t="shared" si="0"/>
        <v>193</v>
      </c>
      <c r="Q9" s="45"/>
      <c r="R9" s="45" t="s">
        <v>336</v>
      </c>
      <c r="S9" s="45" t="s">
        <v>335</v>
      </c>
      <c r="T9" s="109"/>
      <c r="U9" s="48" t="s">
        <v>373</v>
      </c>
      <c r="V9" s="48" t="s">
        <v>227</v>
      </c>
      <c r="W9" s="45" t="s">
        <v>40</v>
      </c>
      <c r="X9" s="49" t="s">
        <v>102</v>
      </c>
      <c r="Y9" s="43" t="s">
        <v>244</v>
      </c>
      <c r="Z9" s="43" t="s">
        <v>52</v>
      </c>
      <c r="AA9" s="43"/>
      <c r="AB9" s="90" t="s">
        <v>89</v>
      </c>
      <c r="AC9" s="91">
        <v>45996</v>
      </c>
    </row>
    <row r="10" spans="1:29" s="51" customFormat="1" ht="47.65" customHeight="1">
      <c r="A10" s="43" t="s">
        <v>16</v>
      </c>
      <c r="B10" s="75">
        <v>2512040</v>
      </c>
      <c r="C10" s="75">
        <v>70641</v>
      </c>
      <c r="D10" s="46" t="s">
        <v>17</v>
      </c>
      <c r="E10" s="75">
        <v>713948</v>
      </c>
      <c r="F10" s="76" t="s">
        <v>18</v>
      </c>
      <c r="G10" s="46" t="s">
        <v>19</v>
      </c>
      <c r="H10" s="48" t="s">
        <v>88</v>
      </c>
      <c r="I10" s="48"/>
      <c r="J10" s="77">
        <v>100</v>
      </c>
      <c r="K10" s="77">
        <v>150</v>
      </c>
      <c r="L10" s="77">
        <v>100</v>
      </c>
      <c r="M10" s="77">
        <v>25</v>
      </c>
      <c r="N10" s="77"/>
      <c r="O10" s="48"/>
      <c r="P10" s="48">
        <f t="shared" si="0"/>
        <v>375</v>
      </c>
      <c r="Q10" s="45"/>
      <c r="R10" s="45" t="s">
        <v>336</v>
      </c>
      <c r="S10" s="45" t="s">
        <v>335</v>
      </c>
      <c r="T10" s="109"/>
      <c r="U10" s="48" t="s">
        <v>373</v>
      </c>
      <c r="V10" s="48" t="s">
        <v>228</v>
      </c>
      <c r="W10" s="45" t="s">
        <v>20</v>
      </c>
      <c r="X10" s="49" t="s">
        <v>20</v>
      </c>
      <c r="Y10" s="43" t="s">
        <v>244</v>
      </c>
      <c r="Z10" s="43" t="s">
        <v>21</v>
      </c>
      <c r="AA10" s="43" t="s">
        <v>22</v>
      </c>
      <c r="AB10" s="90" t="s">
        <v>89</v>
      </c>
      <c r="AC10" s="91">
        <v>45996</v>
      </c>
    </row>
    <row r="11" spans="1:29" s="51" customFormat="1" ht="47.65" customHeight="1">
      <c r="A11" s="43" t="s">
        <v>16</v>
      </c>
      <c r="B11" s="75">
        <v>2512040</v>
      </c>
      <c r="C11" s="75">
        <v>70641</v>
      </c>
      <c r="D11" s="46" t="s">
        <v>45</v>
      </c>
      <c r="E11" s="75">
        <v>713948</v>
      </c>
      <c r="F11" s="76" t="s">
        <v>18</v>
      </c>
      <c r="G11" s="46" t="s">
        <v>19</v>
      </c>
      <c r="H11" s="48" t="s">
        <v>88</v>
      </c>
      <c r="I11" s="77">
        <v>6</v>
      </c>
      <c r="J11" s="77">
        <v>14</v>
      </c>
      <c r="K11" s="77">
        <v>31</v>
      </c>
      <c r="L11" s="77">
        <v>24</v>
      </c>
      <c r="M11" s="77">
        <v>17</v>
      </c>
      <c r="N11" s="77">
        <v>12</v>
      </c>
      <c r="O11" s="48"/>
      <c r="P11" s="48">
        <f t="shared" si="0"/>
        <v>104</v>
      </c>
      <c r="Q11" s="45"/>
      <c r="R11" s="45" t="s">
        <v>336</v>
      </c>
      <c r="S11" s="45" t="s">
        <v>335</v>
      </c>
      <c r="T11" s="109"/>
      <c r="U11" s="48" t="s">
        <v>373</v>
      </c>
      <c r="V11" s="48" t="s">
        <v>229</v>
      </c>
      <c r="W11" s="45" t="s">
        <v>46</v>
      </c>
      <c r="X11" s="49"/>
      <c r="Y11" s="43" t="s">
        <v>244</v>
      </c>
      <c r="Z11" s="43" t="s">
        <v>31</v>
      </c>
      <c r="AA11" s="43" t="s">
        <v>47</v>
      </c>
      <c r="AB11" s="90" t="s">
        <v>89</v>
      </c>
      <c r="AC11" s="91">
        <v>45996</v>
      </c>
    </row>
    <row r="12" spans="1:29" s="51" customFormat="1" ht="47.65" customHeight="1">
      <c r="A12" s="43" t="s">
        <v>16</v>
      </c>
      <c r="B12" s="75">
        <v>2512040</v>
      </c>
      <c r="C12" s="75">
        <v>70641</v>
      </c>
      <c r="D12" s="46" t="s">
        <v>45</v>
      </c>
      <c r="E12" s="75">
        <v>713948</v>
      </c>
      <c r="F12" s="76" t="s">
        <v>18</v>
      </c>
      <c r="G12" s="46" t="s">
        <v>19</v>
      </c>
      <c r="H12" s="48" t="s">
        <v>88</v>
      </c>
      <c r="I12" s="48"/>
      <c r="J12" s="77"/>
      <c r="K12" s="77"/>
      <c r="L12" s="77"/>
      <c r="M12" s="77"/>
      <c r="N12" s="77"/>
      <c r="O12" s="77">
        <v>9</v>
      </c>
      <c r="P12" s="48">
        <f t="shared" si="0"/>
        <v>9</v>
      </c>
      <c r="Q12" s="45"/>
      <c r="R12" s="45" t="s">
        <v>336</v>
      </c>
      <c r="S12" s="45" t="s">
        <v>335</v>
      </c>
      <c r="T12" s="109"/>
      <c r="U12" s="48" t="s">
        <v>373</v>
      </c>
      <c r="V12" s="48" t="s">
        <v>229</v>
      </c>
      <c r="W12" s="45" t="s">
        <v>46</v>
      </c>
      <c r="X12" s="49"/>
      <c r="Y12" s="43" t="s">
        <v>244</v>
      </c>
      <c r="Z12" s="43" t="s">
        <v>31</v>
      </c>
      <c r="AA12" s="43" t="s">
        <v>47</v>
      </c>
      <c r="AB12" s="90" t="s">
        <v>89</v>
      </c>
      <c r="AC12" s="91">
        <v>45996</v>
      </c>
    </row>
    <row r="13" spans="1:29" s="51" customFormat="1" ht="47.65" customHeight="1">
      <c r="A13" s="43" t="s">
        <v>16</v>
      </c>
      <c r="B13" s="75">
        <v>2512040</v>
      </c>
      <c r="C13" s="75">
        <v>70641</v>
      </c>
      <c r="D13" s="46" t="s">
        <v>14</v>
      </c>
      <c r="E13" s="75">
        <v>713948</v>
      </c>
      <c r="F13" s="76" t="s">
        <v>18</v>
      </c>
      <c r="G13" s="46" t="s">
        <v>19</v>
      </c>
      <c r="H13" s="48" t="s">
        <v>88</v>
      </c>
      <c r="I13" s="48"/>
      <c r="J13" s="77">
        <v>3</v>
      </c>
      <c r="K13" s="77">
        <v>7</v>
      </c>
      <c r="L13" s="77">
        <v>8</v>
      </c>
      <c r="M13" s="77">
        <v>5</v>
      </c>
      <c r="N13" s="77">
        <v>2</v>
      </c>
      <c r="O13" s="48"/>
      <c r="P13" s="48">
        <f t="shared" si="0"/>
        <v>25</v>
      </c>
      <c r="Q13" s="45"/>
      <c r="R13" s="45" t="s">
        <v>336</v>
      </c>
      <c r="S13" s="45" t="s">
        <v>335</v>
      </c>
      <c r="T13" s="109"/>
      <c r="U13" s="48" t="s">
        <v>373</v>
      </c>
      <c r="V13" s="48" t="s">
        <v>230</v>
      </c>
      <c r="W13" s="45" t="s">
        <v>33</v>
      </c>
      <c r="X13" s="49"/>
      <c r="Y13" s="43" t="s">
        <v>244</v>
      </c>
      <c r="Z13" s="43" t="s">
        <v>36</v>
      </c>
      <c r="AA13" s="43" t="s">
        <v>15</v>
      </c>
      <c r="AB13" s="90" t="s">
        <v>89</v>
      </c>
      <c r="AC13" s="91">
        <v>45996</v>
      </c>
    </row>
    <row r="14" spans="1:29" s="51" customFormat="1" ht="47.65" customHeight="1">
      <c r="A14" s="43" t="s">
        <v>16</v>
      </c>
      <c r="B14" s="75">
        <v>2512040</v>
      </c>
      <c r="C14" s="75">
        <v>70641</v>
      </c>
      <c r="D14" s="46" t="s">
        <v>14</v>
      </c>
      <c r="E14" s="75">
        <v>713948</v>
      </c>
      <c r="F14" s="76" t="s">
        <v>18</v>
      </c>
      <c r="G14" s="46" t="s">
        <v>19</v>
      </c>
      <c r="H14" s="48" t="s">
        <v>88</v>
      </c>
      <c r="I14" s="77">
        <v>5</v>
      </c>
      <c r="J14" s="77">
        <v>27</v>
      </c>
      <c r="K14" s="77">
        <v>57</v>
      </c>
      <c r="L14" s="77">
        <v>62</v>
      </c>
      <c r="M14" s="77">
        <v>40</v>
      </c>
      <c r="N14" s="77">
        <v>24</v>
      </c>
      <c r="O14" s="48"/>
      <c r="P14" s="48">
        <f t="shared" si="0"/>
        <v>215</v>
      </c>
      <c r="Q14" s="45"/>
      <c r="R14" s="45" t="s">
        <v>336</v>
      </c>
      <c r="S14" s="45" t="s">
        <v>335</v>
      </c>
      <c r="T14" s="109"/>
      <c r="U14" s="48" t="s">
        <v>373</v>
      </c>
      <c r="V14" s="48" t="s">
        <v>231</v>
      </c>
      <c r="W14" s="45" t="s">
        <v>33</v>
      </c>
      <c r="X14" s="49" t="s">
        <v>34</v>
      </c>
      <c r="Y14" s="43" t="s">
        <v>244</v>
      </c>
      <c r="Z14" s="43" t="s">
        <v>35</v>
      </c>
      <c r="AA14" s="43" t="s">
        <v>15</v>
      </c>
      <c r="AB14" s="90" t="s">
        <v>89</v>
      </c>
      <c r="AC14" s="91">
        <v>45996</v>
      </c>
    </row>
    <row r="15" spans="1:29" s="51" customFormat="1" ht="47.65" customHeight="1">
      <c r="A15" s="43" t="s">
        <v>16</v>
      </c>
      <c r="B15" s="75">
        <v>2512040</v>
      </c>
      <c r="C15" s="75">
        <v>70641</v>
      </c>
      <c r="D15" s="46" t="s">
        <v>14</v>
      </c>
      <c r="E15" s="75">
        <v>713948</v>
      </c>
      <c r="F15" s="76" t="s">
        <v>18</v>
      </c>
      <c r="G15" s="46" t="s">
        <v>19</v>
      </c>
      <c r="H15" s="48" t="s">
        <v>88</v>
      </c>
      <c r="I15" s="48"/>
      <c r="J15" s="77"/>
      <c r="K15" s="77"/>
      <c r="L15" s="77"/>
      <c r="M15" s="77"/>
      <c r="N15" s="77"/>
      <c r="O15" s="77">
        <v>12</v>
      </c>
      <c r="P15" s="48">
        <f t="shared" si="0"/>
        <v>12</v>
      </c>
      <c r="Q15" s="45"/>
      <c r="R15" s="45" t="s">
        <v>336</v>
      </c>
      <c r="S15" s="45" t="s">
        <v>335</v>
      </c>
      <c r="T15" s="109"/>
      <c r="U15" s="48" t="s">
        <v>373</v>
      </c>
      <c r="V15" s="48" t="s">
        <v>231</v>
      </c>
      <c r="W15" s="45" t="s">
        <v>33</v>
      </c>
      <c r="X15" s="49" t="s">
        <v>34</v>
      </c>
      <c r="Y15" s="43" t="s">
        <v>244</v>
      </c>
      <c r="Z15" s="43" t="s">
        <v>35</v>
      </c>
      <c r="AA15" s="43" t="s">
        <v>15</v>
      </c>
      <c r="AB15" s="90" t="s">
        <v>89</v>
      </c>
      <c r="AC15" s="91">
        <v>45996</v>
      </c>
    </row>
    <row r="16" spans="1:29" s="51" customFormat="1" ht="47.65" customHeight="1">
      <c r="A16" s="43" t="s">
        <v>16</v>
      </c>
      <c r="B16" s="75">
        <v>2512040</v>
      </c>
      <c r="C16" s="75">
        <v>70641</v>
      </c>
      <c r="D16" s="46" t="s">
        <v>124</v>
      </c>
      <c r="E16" s="75">
        <v>713948</v>
      </c>
      <c r="F16" s="76" t="s">
        <v>18</v>
      </c>
      <c r="G16" s="46" t="s">
        <v>19</v>
      </c>
      <c r="H16" s="48" t="s">
        <v>88</v>
      </c>
      <c r="I16" s="48"/>
      <c r="J16" s="77">
        <v>16</v>
      </c>
      <c r="K16" s="77">
        <v>18</v>
      </c>
      <c r="L16" s="77">
        <v>13</v>
      </c>
      <c r="M16" s="77">
        <v>7</v>
      </c>
      <c r="N16" s="77"/>
      <c r="O16" s="48"/>
      <c r="P16" s="48">
        <f t="shared" si="0"/>
        <v>54</v>
      </c>
      <c r="Q16" s="45"/>
      <c r="R16" s="45" t="s">
        <v>125</v>
      </c>
      <c r="S16" s="45" t="s">
        <v>126</v>
      </c>
      <c r="T16" s="109"/>
      <c r="U16" s="48" t="s">
        <v>373</v>
      </c>
      <c r="V16" s="48" t="s">
        <v>232</v>
      </c>
      <c r="W16" s="45" t="s">
        <v>28</v>
      </c>
      <c r="X16" s="49" t="s">
        <v>128</v>
      </c>
      <c r="Y16" s="43" t="s">
        <v>244</v>
      </c>
      <c r="Z16" s="43" t="s">
        <v>129</v>
      </c>
      <c r="AA16" s="43" t="s">
        <v>130</v>
      </c>
      <c r="AB16" s="90" t="s">
        <v>89</v>
      </c>
      <c r="AC16" s="91">
        <v>45996</v>
      </c>
    </row>
    <row r="17" spans="1:29" s="51" customFormat="1" ht="47.65" customHeight="1">
      <c r="A17" s="43" t="s">
        <v>16</v>
      </c>
      <c r="B17" s="75">
        <v>2512040</v>
      </c>
      <c r="C17" s="75">
        <v>70641</v>
      </c>
      <c r="D17" s="46" t="s">
        <v>74</v>
      </c>
      <c r="E17" s="75">
        <v>713948</v>
      </c>
      <c r="F17" s="76" t="s">
        <v>18</v>
      </c>
      <c r="G17" s="46" t="s">
        <v>19</v>
      </c>
      <c r="H17" s="48" t="s">
        <v>88</v>
      </c>
      <c r="I17" s="77">
        <v>11</v>
      </c>
      <c r="J17" s="77">
        <v>18</v>
      </c>
      <c r="K17" s="77">
        <v>24</v>
      </c>
      <c r="L17" s="77">
        <v>11</v>
      </c>
      <c r="M17" s="77">
        <v>7</v>
      </c>
      <c r="N17" s="77">
        <v>6</v>
      </c>
      <c r="O17" s="48"/>
      <c r="P17" s="48">
        <f t="shared" si="0"/>
        <v>77</v>
      </c>
      <c r="Q17" s="45"/>
      <c r="R17" s="45" t="s">
        <v>125</v>
      </c>
      <c r="S17" s="45" t="s">
        <v>126</v>
      </c>
      <c r="T17" s="109"/>
      <c r="U17" s="48" t="s">
        <v>373</v>
      </c>
      <c r="V17" s="48" t="s">
        <v>233</v>
      </c>
      <c r="W17" s="45" t="s">
        <v>75</v>
      </c>
      <c r="X17" s="49"/>
      <c r="Y17" s="43" t="s">
        <v>244</v>
      </c>
      <c r="Z17" s="43" t="s">
        <v>76</v>
      </c>
      <c r="AA17" s="43" t="s">
        <v>77</v>
      </c>
      <c r="AB17" s="90" t="s">
        <v>89</v>
      </c>
      <c r="AC17" s="91">
        <v>45996</v>
      </c>
    </row>
    <row r="18" spans="1:29" s="51" customFormat="1" ht="47.65" customHeight="1">
      <c r="A18" s="43" t="s">
        <v>16</v>
      </c>
      <c r="B18" s="75">
        <v>2512040</v>
      </c>
      <c r="C18" s="75">
        <v>70641</v>
      </c>
      <c r="D18" s="46" t="s">
        <v>37</v>
      </c>
      <c r="E18" s="75">
        <v>713948</v>
      </c>
      <c r="F18" s="76" t="s">
        <v>18</v>
      </c>
      <c r="G18" s="46" t="s">
        <v>19</v>
      </c>
      <c r="H18" s="48" t="s">
        <v>88</v>
      </c>
      <c r="I18" s="77">
        <v>16</v>
      </c>
      <c r="J18" s="77">
        <v>30</v>
      </c>
      <c r="K18" s="77">
        <v>34</v>
      </c>
      <c r="L18" s="77">
        <v>32</v>
      </c>
      <c r="M18" s="77">
        <v>19</v>
      </c>
      <c r="N18" s="77">
        <v>9</v>
      </c>
      <c r="O18" s="48"/>
      <c r="P18" s="48">
        <f t="shared" si="0"/>
        <v>140</v>
      </c>
      <c r="Q18" s="45"/>
      <c r="R18" s="45" t="s">
        <v>336</v>
      </c>
      <c r="S18" s="45" t="s">
        <v>335</v>
      </c>
      <c r="T18" s="109"/>
      <c r="U18" s="48" t="s">
        <v>373</v>
      </c>
      <c r="V18" s="48" t="s">
        <v>234</v>
      </c>
      <c r="W18" s="45" t="s">
        <v>38</v>
      </c>
      <c r="X18" s="49"/>
      <c r="Y18" s="43" t="s">
        <v>244</v>
      </c>
      <c r="Z18" s="43" t="s">
        <v>31</v>
      </c>
      <c r="AA18" s="43" t="s">
        <v>39</v>
      </c>
      <c r="AB18" s="90" t="s">
        <v>89</v>
      </c>
      <c r="AC18" s="91">
        <v>45996</v>
      </c>
    </row>
    <row r="19" spans="1:29" s="51" customFormat="1" ht="58.7" customHeight="1">
      <c r="A19" s="68" t="s">
        <v>16</v>
      </c>
      <c r="B19" s="60">
        <v>2512075</v>
      </c>
      <c r="C19" s="60">
        <v>70641</v>
      </c>
      <c r="D19" s="58" t="s">
        <v>238</v>
      </c>
      <c r="E19" s="59">
        <v>713948</v>
      </c>
      <c r="F19" s="59" t="s">
        <v>18</v>
      </c>
      <c r="G19" s="58" t="s">
        <v>19</v>
      </c>
      <c r="H19" s="59" t="s">
        <v>88</v>
      </c>
      <c r="I19" s="83">
        <v>26</v>
      </c>
      <c r="J19" s="83">
        <v>117</v>
      </c>
      <c r="K19" s="83">
        <v>156</v>
      </c>
      <c r="L19" s="83">
        <v>156</v>
      </c>
      <c r="M19" s="83">
        <v>104</v>
      </c>
      <c r="N19" s="83">
        <v>52</v>
      </c>
      <c r="O19" s="60"/>
      <c r="P19" s="48">
        <f t="shared" si="0"/>
        <v>611</v>
      </c>
      <c r="Q19" s="60"/>
      <c r="R19" s="60" t="s">
        <v>141</v>
      </c>
      <c r="S19" s="60" t="s">
        <v>142</v>
      </c>
      <c r="T19" s="60"/>
      <c r="U19" s="48" t="s">
        <v>373</v>
      </c>
      <c r="V19" s="59" t="s">
        <v>242</v>
      </c>
      <c r="W19" s="60" t="s">
        <v>239</v>
      </c>
      <c r="X19" s="61" t="s">
        <v>239</v>
      </c>
      <c r="Y19" s="68" t="s">
        <v>244</v>
      </c>
      <c r="Z19" s="68" t="s">
        <v>240</v>
      </c>
      <c r="AA19" s="68" t="s">
        <v>241</v>
      </c>
      <c r="AB19" s="92" t="s">
        <v>89</v>
      </c>
      <c r="AC19" s="93">
        <v>46006</v>
      </c>
    </row>
    <row r="20" spans="1:29" s="51" customFormat="1" ht="58.7" customHeight="1">
      <c r="A20" s="68" t="s">
        <v>16</v>
      </c>
      <c r="B20" s="60">
        <v>2512075</v>
      </c>
      <c r="C20" s="60">
        <v>70641</v>
      </c>
      <c r="D20" s="58" t="s">
        <v>238</v>
      </c>
      <c r="E20" s="59">
        <v>713948</v>
      </c>
      <c r="F20" s="59" t="s">
        <v>18</v>
      </c>
      <c r="G20" s="58" t="s">
        <v>19</v>
      </c>
      <c r="H20" s="59" t="s">
        <v>88</v>
      </c>
      <c r="I20" s="60"/>
      <c r="J20" s="83">
        <v>325</v>
      </c>
      <c r="K20" s="83">
        <v>364</v>
      </c>
      <c r="L20" s="83">
        <v>286</v>
      </c>
      <c r="M20" s="83">
        <v>91</v>
      </c>
      <c r="N20" s="60"/>
      <c r="O20" s="60"/>
      <c r="P20" s="48">
        <f t="shared" si="0"/>
        <v>1066</v>
      </c>
      <c r="Q20" s="60"/>
      <c r="R20" s="60" t="s">
        <v>141</v>
      </c>
      <c r="S20" s="60" t="s">
        <v>142</v>
      </c>
      <c r="T20" s="60"/>
      <c r="U20" s="48" t="s">
        <v>373</v>
      </c>
      <c r="V20" s="59" t="s">
        <v>243</v>
      </c>
      <c r="W20" s="60" t="s">
        <v>239</v>
      </c>
      <c r="X20" s="61" t="s">
        <v>239</v>
      </c>
      <c r="Y20" s="68" t="s">
        <v>244</v>
      </c>
      <c r="Z20" s="68" t="s">
        <v>240</v>
      </c>
      <c r="AA20" s="68" t="s">
        <v>241</v>
      </c>
      <c r="AB20" s="92" t="s">
        <v>89</v>
      </c>
      <c r="AC20" s="93">
        <v>46006</v>
      </c>
    </row>
    <row r="21" spans="1:29" s="51" customFormat="1" ht="31.9" customHeight="1">
      <c r="A21" s="86"/>
      <c r="B21" s="86"/>
      <c r="C21" s="86"/>
      <c r="D21" s="87"/>
      <c r="E21" s="86"/>
      <c r="F21" s="86"/>
      <c r="G21" s="86"/>
      <c r="H21" s="88"/>
      <c r="I21" s="88"/>
      <c r="J21" s="88"/>
      <c r="K21" s="88"/>
      <c r="L21" s="88"/>
      <c r="M21" s="88"/>
      <c r="N21" s="88"/>
      <c r="O21" s="88"/>
      <c r="P21" s="89"/>
      <c r="Q21" s="88"/>
      <c r="R21" s="88"/>
      <c r="S21" s="88"/>
      <c r="T21" s="88"/>
      <c r="U21" s="89"/>
      <c r="V21" s="89"/>
      <c r="W21" s="88"/>
      <c r="X21" s="94"/>
      <c r="Y21" s="86"/>
      <c r="Z21" s="86"/>
      <c r="AA21" s="86"/>
      <c r="AB21" s="86"/>
      <c r="AC21" s="86"/>
    </row>
    <row r="22" spans="1:29" ht="53.1" customHeight="1">
      <c r="P22" s="66">
        <f>SUM(P7:P20)</f>
        <v>3065</v>
      </c>
    </row>
  </sheetData>
  <autoFilter ref="A6:AH18">
    <filterColumn colId="21">
      <filters>
        <filter val="4900014809"/>
      </filters>
    </filterColumn>
  </autoFilter>
  <mergeCells count="2">
    <mergeCell ref="A2:D2"/>
    <mergeCell ref="A4:B4"/>
  </mergeCells>
  <pageMargins left="0" right="0" top="0.39370078740157483" bottom="0.74803149606299213" header="0.31496062992125984" footer="0.31496062992125984"/>
  <pageSetup paperSize="9" scale="31" orientation="landscape" r:id="rId1"/>
  <headerFooter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714046</vt:lpstr>
      <vt:lpstr>713955</vt:lpstr>
      <vt:lpstr>713954</vt:lpstr>
      <vt:lpstr>713953</vt:lpstr>
      <vt:lpstr>713952</vt:lpstr>
      <vt:lpstr>713951</vt:lpstr>
      <vt:lpstr>713948</vt:lpstr>
      <vt:lpstr>'713948'!Print_Area</vt:lpstr>
      <vt:lpstr>'713951'!Print_Area</vt:lpstr>
      <vt:lpstr>'713952'!Print_Area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kyw</dc:creator>
  <cp:lastModifiedBy>ThuyXNK</cp:lastModifiedBy>
  <cp:lastPrinted>2025-12-09T01:59:43Z</cp:lastPrinted>
  <dcterms:created xsi:type="dcterms:W3CDTF">2017-07-07T02:57:00Z</dcterms:created>
  <dcterms:modified xsi:type="dcterms:W3CDTF">2026-03-05T02:26:48Z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7BF86A41D1EB4D8BA40CA49088AD3FFC</vt:lpwstr>
  </property>
</Properties>
</file>